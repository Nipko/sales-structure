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1715f89fb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gen planes" sheetId="1" r:id="Rab2dec876b8d4991"/>
    <x:sheet xmlns:r="http://schemas.openxmlformats.org/officeDocument/2006/relationships" name="Supuestos" sheetId="2" r:id="R75a00adb8cb04223"/>
    <x:sheet xmlns:r="http://schemas.openxmlformats.org/officeDocument/2006/relationships" name="Tarifas Meta" sheetId="3" r:id="Re50ecb0840be4a01"/>
    <x:sheet xmlns:r="http://schemas.openxmlformats.org/officeDocument/2006/relationships" name="Planes fuente" sheetId="4" r:id="R88c0794807ad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(0.0%);&quot;–&quot;"/>
    <x:numFmt numFmtId="201" formatCode="0.0000"/>
    <x:numFmt numFmtId="202" formatCode="0.00"/>
    <x:numFmt numFmtId="203" formatCode="#,##0.00;(#,##0.00);&quot;–&quot;"/>
    <x:numFmt numFmtId="204" formatCode="#,##0;(#,##0);&quot;–&quot;"/>
  </x:numFmts>
  <x:fonts count="17">
    <x:font>
      <x:sz val="11"/>
      <x:name val="Carlito"/>
    </x:font>
    <x:font>
      <x:sz val="10"/>
      <x:color rgb="FF15232E"/>
      <x:name val="Arial"/>
    </x:font>
    <x:font>
      <x:b/>
      <x:sz val="16"/>
      <x:color rgb="FF19344C"/>
      <x:name val="Arial"/>
    </x:font>
    <x:font>
      <x:i/>
      <x:sz val="10"/>
      <x:color rgb="FF66788A"/>
      <x:name val="Arial"/>
    </x:font>
    <x:font>
      <x:b/>
      <x:sz val="10"/>
      <x:color rgb="FFFFFFFF"/>
      <x:name val="Arial"/>
    </x:font>
    <x:font>
      <x:sz val="10"/>
      <x:color rgb="FF16835A"/>
      <x:name val="Arial"/>
    </x:font>
    <x:font>
      <x:sz val="10"/>
      <x:color rgb="FF66788A"/>
      <x:name val="Arial"/>
    </x:font>
    <x:font>
      <x:sz val="10"/>
      <x:color rgb="FF205CBC"/>
      <x:name val="Arial"/>
    </x:font>
    <x:font>
      <x:b/>
      <x:sz val="11"/>
      <x:color rgb="FFFFFFFF"/>
      <x:name val="Carlito"/>
    </x:font>
    <x:font>
      <x:sz val="11"/>
      <x:color rgb="FF16835A"/>
      <x:name val="Carlito"/>
    </x:font>
    <x:font>
      <x:b/>
      <x:sz val="11"/>
      <x:color rgb="FFFFFFFF"/>
      <x:name val="Arial"/>
    </x:font>
    <x:font>
      <x:sz val="11"/>
      <x:name val="Arial"/>
    </x:font>
    <x:font>
      <x:sz val="11"/>
      <x:color rgb="FF16835A"/>
      <x:name val="Arial"/>
    </x:font>
    <x:font>
      <x:i/>
      <x:sz val="10"/>
      <x:color rgb="FF15232E"/>
      <x:name val="Arial"/>
    </x:font>
    <x:font>
      <x:i/>
      <x:sz val="10"/>
      <x:color rgb="FF16835A"/>
      <x:name val="Arial"/>
    </x:font>
    <x:font>
      <x:b/>
      <x:sz val="10"/>
      <x:color rgb="FF15232E"/>
      <x:name val="Arial"/>
    </x:font>
    <x:font>
      <x:b/>
      <x:sz val="10"/>
      <x:color rgb="FF1683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44C"/>
      </x:patternFill>
    </x:fill>
    <x:fill>
      <x:patternFill patternType="solid">
        <x:fgColor rgb="FFFFF0BE"/>
      </x:patternFill>
    </x:fill>
    <x:fill>
      <x:patternFill patternType="solid">
        <x:fgColor rgb="FFEFF4F8"/>
      </x:patternFill>
    </x:fill>
  </x:fills>
  <x:borders count="3">
    <x:border/>
    <x:border>
      <x:bottom style="thin">
        <x:color rgb="FF19344C"/>
      </x:bottom>
    </x:border>
    <x:border>
      <x:top style="thin">
        <x:color rgb="FFC3CED6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201" fontId="12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righ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horizontal="right" vertical="center"/>
    </x:xf>
    <x:xf numFmtId="0" fontId="15" fillId="0" borderId="2" xfId="0" applyNumberFormat="1" applyFont="1" applyFill="1" applyBorder="1" applyAlignment="1">
      <x:alignment vertical="center"/>
    </x:xf>
    <x:xf numFmtId="203" fontId="15" fillId="0" borderId="2" xfId="0" applyNumberFormat="1" applyFont="1" applyFill="1" applyBorder="1" applyAlignment="1">
      <x:alignment horizontal="right" vertical="center"/>
    </x:xf>
    <x:xf numFmtId="203" fontId="5" fillId="0" borderId="2" xfId="0" applyNumberFormat="1" applyFont="1" applyFill="1" applyBorder="1" applyAlignment="1">
      <x:alignment horizontal="right" vertical="center"/>
    </x:xf>
    <x:xf numFmtId="203" fontId="16" fillId="0" borderId="2" xfId="0" applyNumberFormat="1" applyFont="1" applyFill="1" applyBorder="1" applyAlignment="1">
      <x:alignment horizontal="right" vertical="center"/>
    </x:xf>
    <x:xf numFmtId="204" fontId="5" fillId="0" borderId="2" xfId="0" applyNumberFormat="1" applyFont="1" applyFill="1" applyBorder="1" applyAlignment="1">
      <x:alignment horizontal="right" vertical="center"/>
    </x:xf>
    <x:xf numFmtId="204" fontId="16" fillId="0" borderId="2" xfId="0" applyNumberFormat="1" applyFont="1" applyFill="1" applyBorder="1" applyAlignment="1">
      <x:alignment horizontal="right" vertical="center"/>
    </x:xf>
    <x:xf numFmtId="0" fontId="15" fillId="4" borderId="2" xfId="0" applyNumberFormat="1" applyFont="1" applyFill="1" applyBorder="1" applyAlignment="1">
      <x:alignment vertical="center"/>
    </x:xf>
    <x:xf numFmtId="203" fontId="15" fillId="4" borderId="2" xfId="0" applyNumberFormat="1" applyFont="1" applyFill="1" applyBorder="1" applyAlignment="1">
      <x:alignment horizontal="right" vertical="center"/>
    </x:xf>
    <x:xf numFmtId="0" fontId="13" fillId="4" borderId="0" xfId="0" applyNumberFormat="1" applyFont="1" applyFill="1" applyBorder="1" applyAlignment="1">
      <x:alignment vertical="center"/>
    </x:xf>
    <x:xf numFmtId="200" fontId="13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b/>
        <x:color rgb="FFA32D2D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915a12d104ad8" /><Relationship Type="http://schemas.openxmlformats.org/officeDocument/2006/relationships/theme" Target="/xl/theme/theme1.xml" Id="Ra33f9c342a834b5c" /><Relationship Type="http://schemas.openxmlformats.org/officeDocument/2006/relationships/sharedStrings" Target="/xl/sharedStrings.xml" Id="R9bfcbd3686ce4e5c" /><Relationship Type="http://schemas.openxmlformats.org/officeDocument/2006/relationships/worksheet" Target="/xl/worksheets/sheet1.xml" Id="Rab2dec876b8d4991" /><Relationship Type="http://schemas.openxmlformats.org/officeDocument/2006/relationships/worksheet" Target="/xl/worksheets/sheet2.xml" Id="R75a00adb8cb04223" /><Relationship Type="http://schemas.openxmlformats.org/officeDocument/2006/relationships/worksheet" Target="/xl/worksheets/sheet3.xml" Id="Re50ecb0840be4a01" /><Relationship Type="http://schemas.openxmlformats.org/officeDocument/2006/relationships/worksheet" Target="/xl/worksheets/sheet4.xml" Id="R88c0794807ad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44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Parallly: margen por plan</x:v>
      </x:c>
      <x:c r="B2" s="2"/>
      <x:c r="C2" s="2"/>
      <x:c r="D2" s="2"/>
      <x:c r="E2" s="2"/>
      <x:c r="F2" s="2"/>
    </x:row>
    <x:row r="3" ht="23" customHeight="1">
      <x:c r="A3" s="4" t="str">
        <x:v>Moneda / ciclo</x:v>
      </x:c>
      <x:c r="B3" s="9" t="str">
        <x:f>'Supuestos'!B5</x:f>
        <x:v>COP</x:v>
      </x:c>
      <x:c r="C3" s="9" t="str">
        <x:f>'Supuestos'!B6</x:f>
        <x:v>Mensual</x:v>
      </x:c>
      <x:c r="D3" s="4" t="str">
        <x:v>WABA</x:v>
      </x:c>
      <x:c r="E3" s="9" t="str">
        <x:f>'Supuestos'!B7</x:f>
        <x:v>Colombia</x:v>
      </x:c>
      <x:c r="F3" s="9" t="str">
        <x:f>'Supuestos'!B8</x:f>
        <x:v>COP</x:v>
      </x:c>
    </x:row>
    <x:row r="4" ht="23" customHeight="1">
      <x:c r="A4" s="5" t="str">
        <x:v>Resultado mensual. Cambiar controles en Supuestos.</x:v>
      </x:c>
      <x:c r="B4" s="2"/>
      <x:c r="C4" s="2"/>
      <x:c r="D4" s="2"/>
      <x:c r="E4" s="2"/>
      <x:c r="F4" s="2"/>
    </x:row>
    <x:row r="5" ht="23" customHeight="1">
      <x:c r="A5" s="8"/>
      <x:c r="B5" s="8" t="str">
        <x:v>Emprendedor</x:v>
      </x:c>
      <x:c r="C5" s="8" t="str">
        <x:v>Starter</x:v>
      </x:c>
      <x:c r="D5" s="8" t="str">
        <x:v>Pro</x:v>
      </x:c>
      <x:c r="E5" s="8" t="str">
        <x:v>Enterprise</x:v>
      </x:c>
      <x:c r="F5" s="8" t="str">
        <x:v>Custom</x:v>
      </x:c>
    </x:row>
    <x:row r="6" ht="23" customHeight="1">
      <x:c r="A6" s="2" t="str">
        <x:v>Precio bruto mensual normalizado</x:v>
      </x:c>
      <x:c r="B6" s="18" t="n">
        <x:f>IF('Supuestos'!$B$5="COP",IF('Supuestos'!$B$6="Anual",IF(ISNUMBER('Planes fuente'!B8),'Planes fuente'!B8/12,"n.a."),IF(ISNUMBER('Planes fuente'!B7),'Planes fuente'!B7,"n.a.")),IF('Supuestos'!$B$6="Anual","n.a.",IF(ISNUMBER('Planes fuente'!B6),'Planes fuente'!B6,"n.a.")))</x:f>
        <x:v>125700</x:v>
      </x:c>
      <x:c r="C6" s="18" t="n">
        <x:f>IF('Supuestos'!$B$5="COP",IF('Supuestos'!$B$6="Anual",IF(ISNUMBER('Planes fuente'!C8),'Planes fuente'!C8/12,"n.a."),IF(ISNUMBER('Planes fuente'!C7),'Planes fuente'!C7,"n.a.")),IF('Supuestos'!$B$6="Anual","n.a.",IF(ISNUMBER('Planes fuente'!C6),'Planes fuente'!C6,"n.a.")))</x:f>
        <x:v>276900</x:v>
      </x:c>
      <x:c r="D6" s="18" t="n">
        <x:f>IF('Supuestos'!$B$5="COP",IF('Supuestos'!$B$6="Anual",IF(ISNUMBER('Planes fuente'!D8),'Planes fuente'!D8/12,"n.a."),IF(ISNUMBER('Planes fuente'!D7),'Planes fuente'!D7,"n.a.")),IF('Supuestos'!$B$6="Anual","n.a.",IF(ISNUMBER('Planes fuente'!D6),'Planes fuente'!D6,"n.a.")))</x:f>
        <x:v>757700</x:v>
      </x:c>
      <x:c r="E6" s="18" t="n">
        <x:f>IF('Supuestos'!$B$5="COP",IF('Supuestos'!$B$6="Anual",IF(ISNUMBER('Planes fuente'!E8),'Planes fuente'!E8/12,"n.a."),IF(ISNUMBER('Planes fuente'!E7),'Planes fuente'!E7,"n.a.")),IF('Supuestos'!$B$6="Anual","n.a.",IF(ISNUMBER('Planes fuente'!E6),'Planes fuente'!E6,"n.a.")))</x:f>
        <x:v>1789800</x:v>
      </x:c>
      <x:c r="F6" s="18" t="str">
        <x:f>IF('Supuestos'!$B$5="COP",IF('Supuestos'!$B$6="Anual",IF(ISNUMBER('Supuestos'!$B$32),'Supuestos'!$B$32/12,"n.a."),IF(ISNUMBER('Supuestos'!$B$31),'Supuestos'!$B$31,"n.a.")),IF('Supuestos'!$B$6="Anual","n.a.",IF(ISNUMBER('Supuestos'!$B$33),'Supuestos'!$B$33,"n.a.")))</x:f>
        <x:v>n.a.</x:v>
      </x:c>
    </x:row>
    <x:row r="7" ht="23" customHeight="1">
      <x:c r="A7" s="44" t="str">
        <x:v>Ingreso neto SaaS / mes</x:v>
      </x:c>
      <x:c r="B7" s="45" t="n">
        <x:f>IF(ISNUMBER(B6),B6/(1+'Supuestos'!$B$10),"n.a.")</x:f>
        <x:v>125700</x:v>
      </x:c>
      <x:c r="C7" s="45" t="n">
        <x:f>IF(ISNUMBER(C6),C6/(1+'Supuestos'!$B$10),"n.a.")</x:f>
        <x:v>276900</x:v>
      </x:c>
      <x:c r="D7" s="45" t="n">
        <x:f>IF(ISNUMBER(D6),D6/(1+'Supuestos'!$B$10),"n.a.")</x:f>
        <x:v>757700</x:v>
      </x:c>
      <x:c r="E7" s="45" t="n">
        <x:f>IF(ISNUMBER(E6),E6/(1+'Supuestos'!$B$10),"n.a.")</x:f>
        <x:v>1789800</x:v>
      </x:c>
      <x:c r="F7" s="45" t="str">
        <x:f>IF(ISNUMBER(F6),F6/(1+'Supuestos'!$B$10),"n.a.")</x:f>
        <x:v>n.a.</x:v>
      </x:c>
    </x:row>
    <x:row r="8" ht="23" customHeight="1">
      <x:c r="A8" s="44" t="str">
        <x:v>Contribución SaaS antes de Meta</x:v>
      </x:c>
      <x:c r="B8" s="45" t="n">
        <x:f>IF(B56="Sí",B7-B24,"n.a.")</x:f>
        <x:v>95872</x:v>
      </x:c>
      <x:c r="C8" s="45" t="n">
        <x:f>IF(C56="Sí",C7-C24,"n.a.")</x:f>
        <x:v>193024</x:v>
      </x:c>
      <x:c r="D8" s="45" t="n">
        <x:f>IF(D56="Sí",D7-D24,"n.a.")</x:f>
        <x:v>446592</x:v>
      </x:c>
      <x:c r="E8" s="45" t="n">
        <x:f>IF(E56="Sí",E7-E24,"n.a.")</x:f>
        <x:v>717408</x:v>
      </x:c>
      <x:c r="F8" s="45" t="str">
        <x:f>IF(F56="Sí",F7-F24,"n.a.")</x:f>
        <x:v>n.a.</x:v>
      </x:c>
    </x:row>
    <x:row r="9" ht="23" customHeight="1">
      <x:c r="A9" s="36" t="str">
        <x:v>Margen SaaS antes de Meta</x:v>
      </x:c>
      <x:c r="B9" s="37" t="n">
        <x:f>IF(B56="Sí",IF(B7=0,"n.a.",B8/B7),"n.a.")</x:f>
        <x:v>0.7627048528241845</x:v>
      </x:c>
      <x:c r="C9" s="37" t="n">
        <x:f>IF(C56="Sí",IF(C7=0,"n.a.",C8/C7),"n.a.")</x:f>
        <x:v>0.6970892018779342</x:v>
      </x:c>
      <x:c r="D9" s="37" t="n">
        <x:f>IF(D56="Sí",IF(D7=0,"n.a.",D8/D7),"n.a.")</x:f>
        <x:v>0.5894047776164709</x:v>
      </x:c>
      <x:c r="E9" s="37" t="n">
        <x:f>IF(E56="Sí",IF(E7=0,"n.a.",E8/E7),"n.a.")</x:f>
        <x:v>0.4008313778075763</x:v>
      </x:c>
      <x:c r="F9" s="37" t="str">
        <x:f>IF(F56="Sí",IF(F7=0,"n.a.",F8/F7),"n.a.")</x:f>
        <x:v>n.a.</x:v>
      </x:c>
    </x:row>
    <x:row r="10" ht="23" customHeight="1">
      <x:c r="A10" s="2" t="str">
        <x:v>Meta asumido por Parallly</x:v>
      </x:c>
      <x:c r="B10" s="18" t="n">
        <x:f>IF(ISNUMBER(B40),B40*'Supuestos'!$B$16,"n.a.")</x:f>
        <x:v>0</x:v>
      </x:c>
      <x:c r="C10" s="18" t="n">
        <x:f>IF(ISNUMBER(C40),C40*'Supuestos'!$B$16,"n.a.")</x:f>
        <x:v>0</x:v>
      </x:c>
      <x:c r="D10" s="18" t="n">
        <x:f>IF(ISNUMBER(D40),D40*'Supuestos'!$B$16,"n.a.")</x:f>
        <x:v>0</x:v>
      </x:c>
      <x:c r="E10" s="18" t="n">
        <x:f>IF(ISNUMBER(E40),E40*'Supuestos'!$B$16,"n.a.")</x:f>
        <x:v>0</x:v>
      </x:c>
      <x:c r="F10" s="18" t="str">
        <x:f>IF(ISNUMBER(F40),F40*'Supuestos'!$B$16,"n.a.")</x:f>
        <x:v>n.a.</x:v>
      </x:c>
    </x:row>
    <x:row r="11" ht="23" customHeight="1">
      <x:c r="A11" s="50" t="str">
        <x:v>Contribución después de Meta</x:v>
      </x:c>
      <x:c r="B11" s="51" t="n">
        <x:f>IF(B56="Sí",B8-B10,"n.a.")</x:f>
        <x:v>95872</x:v>
      </x:c>
      <x:c r="C11" s="51" t="n">
        <x:f>IF(C56="Sí",C8-C10,"n.a.")</x:f>
        <x:v>193024</x:v>
      </x:c>
      <x:c r="D11" s="51" t="n">
        <x:f>IF(D56="Sí",D8-D10,"n.a.")</x:f>
        <x:v>446592</x:v>
      </x:c>
      <x:c r="E11" s="51" t="n">
        <x:f>IF(E56="Sí",E8-E10,"n.a.")</x:f>
        <x:v>717408</x:v>
      </x:c>
      <x:c r="F11" s="51" t="str">
        <x:f>IF(F56="Sí",F8-F10,"n.a.")</x:f>
        <x:v>n.a.</x:v>
      </x:c>
    </x:row>
    <x:row r="12" ht="23" customHeight="1">
      <x:c r="A12" s="52" t="str">
        <x:v>Margen después de Meta</x:v>
      </x:c>
      <x:c r="B12" s="53" t="n">
        <x:f>IF(B56="Sí",IF(B7=0,"n.a.",B11/B7),"n.a.")</x:f>
        <x:v>0.7627048528241845</x:v>
      </x:c>
      <x:c r="C12" s="53" t="n">
        <x:f>IF(C56="Sí",IF(C7=0,"n.a.",C11/C7),"n.a.")</x:f>
        <x:v>0.6970892018779342</x:v>
      </x:c>
      <x:c r="D12" s="53" t="n">
        <x:f>IF(D56="Sí",IF(D7=0,"n.a.",D11/D7),"n.a.")</x:f>
        <x:v>0.5894047776164709</x:v>
      </x:c>
      <x:c r="E12" s="53" t="n">
        <x:f>IF(E56="Sí",IF(E7=0,"n.a.",E11/E7),"n.a.")</x:f>
        <x:v>0.4008313778075763</x:v>
      </x:c>
      <x:c r="F12" s="53" t="str">
        <x:f>IF(F56="Sí",IF(F7=0,"n.a.",F11/F7),"n.a.")</x:f>
        <x:v>n.a.</x:v>
      </x:c>
    </x:row>
    <x:row r="13" ht="23" customHeight="1">
      <x:c r="A13" s="44" t="str">
        <x:v>Costo mensual total para tenant</x:v>
      </x:c>
      <x:c r="B13" s="45" t="n">
        <x:f>IF(B56="Sí",B6+B40*(1-'Supuestos'!$B$16),"n.a.")</x:f>
        <x:v>128940.05</x:v>
      </x:c>
      <x:c r="C13" s="45" t="n">
        <x:f>IF(C56="Sí",C6+C40*(1-'Supuestos'!$B$16),"n.a.")</x:f>
        <x:v>295456.65</x:v>
      </x:c>
      <x:c r="D13" s="45" t="n">
        <x:f>IF(D56="Sí",D6+D40*(1-'Supuestos'!$B$16),"n.a.")</x:f>
        <x:v>852839.65</x:v>
      </x:c>
      <x:c r="E13" s="45" t="n">
        <x:f>IF(E56="Sí",E6+E40*(1-'Supuestos'!$B$16),"n.a.")</x:f>
        <x:v>2172125.9</x:v>
      </x:c>
      <x:c r="F13" s="45" t="str">
        <x:f>IF(F56="Sí",F6+F40*(1-'Supuestos'!$B$16),"n.a.")</x:f>
        <x:v>n.a.</x:v>
      </x:c>
    </x:row>
    <x:row r="14" ht="36" customHeight="1">
      <x:c r="A14" s="2" t="str">
        <x:v>Estado frente al objetivo</x:v>
      </x:c>
      <x:c r="B14" s="54" t="str">
        <x:f>IF(B56&lt;&gt;"Sí","Falta cotización",IF(B7=0,"Sin ingreso",IF(B12&gt;=B43,"Cumple escenario","Revisar cuota/precio")))</x:f>
        <x:v>Cumple escenario</x:v>
      </x:c>
      <x:c r="C14" s="54" t="str">
        <x:f>IF(C56&lt;&gt;"Sí","Falta cotización",IF(C7=0,"Sin ingreso",IF(C12&gt;=C43,"Cumple escenario","Revisar cuota/precio")))</x:f>
        <x:v>Revisar cuota/precio</x:v>
      </x:c>
      <x:c r="D14" s="54" t="str">
        <x:f>IF(D56&lt;&gt;"Sí","Falta cotización",IF(D7=0,"Sin ingreso",IF(D12&gt;=D43,"Cumple escenario","Revisar cuota/precio")))</x:f>
        <x:v>Revisar cuota/precio</x:v>
      </x:c>
      <x:c r="E14" s="54" t="str">
        <x:f>IF(E56&lt;&gt;"Sí","Falta cotización",IF(E7=0,"Sin ingreso",IF(E12&gt;=E43,"Cumple escenario","Revisar cuota/precio")))</x:f>
        <x:v>Revisar cuota/precio</x:v>
      </x:c>
      <x:c r="F14" s="54" t="str">
        <x:f>IF(F56&lt;&gt;"Sí","Falta cotización",IF(F7=0,"Sin ingreso",IF(F12&gt;=F43,"Cumple escenario","Revisar cuota/precio")))</x:f>
        <x:v>Falta cotización</x:v>
      </x:c>
    </x:row>
    <x:row r="15" ht="23" customHeight="1">
      <x:c r="A15" s="2"/>
      <x:c r="B15" s="18"/>
      <x:c r="C15" s="18"/>
      <x:c r="D15" s="18"/>
      <x:c r="E15" s="18"/>
      <x:c r="F15" s="18"/>
    </x:row>
    <x:row r="16" ht="25" customHeight="1">
      <x:c r="A16" s="7" t="str">
        <x:v>Actividad y costos SaaS</x:v>
      </x:c>
      <x:c r="B16" s="34"/>
      <x:c r="C16" s="34"/>
      <x:c r="D16" s="34"/>
      <x:c r="E16" s="34"/>
      <x:c r="F16" s="34"/>
    </x:row>
    <x:row r="17" ht="23" customHeight="1">
      <x:c r="A17" s="2" t="str">
        <x:v>Cuota IA del plan / mes</x:v>
      </x:c>
      <x:c r="B17" s="40" t="n">
        <x:f>IF(ISNUMBER('Planes fuente'!B9),'Planes fuente'!B9,"n.a.")</x:f>
        <x:v>1000</x:v>
      </x:c>
      <x:c r="C17" s="40" t="n">
        <x:f>IF(ISNUMBER('Planes fuente'!C9),'Planes fuente'!C9,"n.a.")</x:f>
        <x:v>5000</x:v>
      </x:c>
      <x:c r="D17" s="40" t="n">
        <x:f>IF(ISNUMBER('Planes fuente'!D9),'Planes fuente'!D9,"n.a.")</x:f>
        <x:v>25000</x:v>
      </x:c>
      <x:c r="E17" s="40" t="n">
        <x:f>IF(ISNUMBER('Planes fuente'!E9),'Planes fuente'!E9,"n.a.")</x:f>
        <x:v>100000</x:v>
      </x:c>
      <x:c r="F17" s="40" t="str">
        <x:f>IF(ISNUMBER('Supuestos'!$B$34),'Supuestos'!$B$34,"n.a.")</x:f>
        <x:v>n.a.</x:v>
      </x:c>
    </x:row>
    <x:row r="18" ht="23" customHeight="1">
      <x:c r="A18" s="36" t="str">
        <x:v>Consumo de cuota seleccionado</x:v>
      </x:c>
      <x:c r="B18" s="39" t="n">
        <x:f>'Supuestos'!$B$14</x:f>
        <x:v>1</x:v>
      </x:c>
      <x:c r="C18" s="39" t="n">
        <x:f>'Supuestos'!$B$14</x:f>
        <x:v>1</x:v>
      </x:c>
      <x:c r="D18" s="39" t="n">
        <x:f>'Supuestos'!$B$14</x:f>
        <x:v>1</x:v>
      </x:c>
      <x:c r="E18" s="39" t="n">
        <x:f>'Supuestos'!$B$14</x:f>
        <x:v>1</x:v>
      </x:c>
      <x:c r="F18" s="39" t="n">
        <x:f>'Supuestos'!$B$14</x:f>
        <x:v>1</x:v>
      </x:c>
    </x:row>
    <x:row r="19" ht="23" customHeight="1">
      <x:c r="A19" s="2" t="str">
        <x:v>Turnos IA consumidos / mes</x:v>
      </x:c>
      <x:c r="B19" s="19" t="n">
        <x:f>IF(ISNUMBER(B17),ROUNDDOWN(B17*B18,0),"n.a.")</x:f>
        <x:v>1000</x:v>
      </x:c>
      <x:c r="C19" s="19" t="n">
        <x:f>IF(ISNUMBER(C17),ROUNDDOWN(C17*C18,0),"n.a.")</x:f>
        <x:v>5000</x:v>
      </x:c>
      <x:c r="D19" s="19" t="n">
        <x:f>IF(ISNUMBER(D17),ROUNDDOWN(D17*D18,0),"n.a.")</x:f>
        <x:v>25000</x:v>
      </x:c>
      <x:c r="E19" s="19" t="n">
        <x:f>IF(ISNUMBER(E17),ROUNDDOWN(E17*E18,0),"n.a.")</x:f>
        <x:v>100000</x:v>
      </x:c>
      <x:c r="F19" s="19" t="str">
        <x:f>IF(ISNUMBER(F17),ROUNDDOWN(F17*F18,0),"n.a.")</x:f>
        <x:v>n.a.</x:v>
      </x:c>
    </x:row>
    <x:row r="20" ht="23" customHeight="1">
      <x:c r="A20" s="2" t="str">
        <x:v>Costo variable IA</x:v>
      </x:c>
      <x:c r="B20" s="18" t="n">
        <x:f>IF(ISNUMBER(B19),B19*B53,"n.a.")</x:f>
        <x:v>8000</x:v>
      </x:c>
      <x:c r="C20" s="18" t="n">
        <x:f>IF(ISNUMBER(C19),C19*C53,"n.a.")</x:f>
        <x:v>40000</x:v>
      </x:c>
      <x:c r="D20" s="18" t="n">
        <x:f>IF(ISNUMBER(D19),D19*D53,"n.a.")</x:f>
        <x:v>200000</x:v>
      </x:c>
      <x:c r="E20" s="18" t="n">
        <x:f>IF(ISNUMBER(E19),E19*E53,"n.a.")</x:f>
        <x:v>800000</x:v>
      </x:c>
      <x:c r="F20" s="18" t="str">
        <x:f>IF(ISNUMBER(F19),F19*F53,"n.a.")</x:f>
        <x:v>n.a.</x:v>
      </x:c>
    </x:row>
    <x:row r="21" ht="23" customHeight="1">
      <x:c r="A21" s="2" t="str">
        <x:v>Otros costos mensuales</x:v>
      </x:c>
      <x:c r="B21" s="33" t="n">
        <x:f>IF(ISNUMBER('Supuestos'!B27),'Supuestos'!B27*IF('Supuestos'!$B$5="COP",'Supuestos'!$B$9,1),"n.a.")</x:f>
        <x:v>16000</x:v>
      </x:c>
      <x:c r="C21" s="33" t="n">
        <x:f>IF(ISNUMBER('Supuestos'!C27),'Supuestos'!C27*IF('Supuestos'!$B$5="COP",'Supuestos'!$B$9,1),"n.a.")</x:f>
        <x:v>32000</x:v>
      </x:c>
      <x:c r="D21" s="33" t="n">
        <x:f>IF(ISNUMBER('Supuestos'!D27),'Supuestos'!D27*IF('Supuestos'!$B$5="COP",'Supuestos'!$B$9,1),"n.a.")</x:f>
        <x:v>80000</x:v>
      </x:c>
      <x:c r="E21" s="33" t="n">
        <x:f>IF(ISNUMBER('Supuestos'!E27),'Supuestos'!E27*IF('Supuestos'!$B$5="COP",'Supuestos'!$B$9,1),"n.a.")</x:f>
        <x:v>200000</x:v>
      </x:c>
      <x:c r="F21" s="33" t="str">
        <x:f>IF(ISNUMBER('Supuestos'!F27),'Supuestos'!F27*IF('Supuestos'!$B$5="COP",'Supuestos'!$B$9,1),"n.a.")</x:f>
        <x:v>n.a.</x:v>
      </x:c>
    </x:row>
    <x:row r="22" ht="23" customHeight="1">
      <x:c r="A22" s="2" t="str">
        <x:v>Comisión variable de cobro</x:v>
      </x:c>
      <x:c r="B22" s="33" t="n">
        <x:f>IF(ISNUMBER(B6),B6*'Supuestos'!$B$11,"n.a.")</x:f>
        <x:v>5028</x:v>
      </x:c>
      <x:c r="C22" s="33" t="n">
        <x:f>IF(ISNUMBER(C6),C6*'Supuestos'!$B$11,"n.a.")</x:f>
        <x:v>11076</x:v>
      </x:c>
      <x:c r="D22" s="33" t="n">
        <x:f>IF(ISNUMBER(D6),D6*'Supuestos'!$B$11,"n.a.")</x:f>
        <x:v>30308</x:v>
      </x:c>
      <x:c r="E22" s="33" t="n">
        <x:f>IF(ISNUMBER(E6),E6*'Supuestos'!$B$11,"n.a.")</x:f>
        <x:v>71592</x:v>
      </x:c>
      <x:c r="F22" s="33" t="str">
        <x:f>IF(ISNUMBER(F6),F6*'Supuestos'!$B$11,"n.a.")</x:f>
        <x:v>n.a.</x:v>
      </x:c>
    </x:row>
    <x:row r="23" ht="23" customHeight="1">
      <x:c r="A23" s="2" t="str">
        <x:v>Cargo fijo de cobro normalizado</x:v>
      </x:c>
      <x:c r="B23" s="33" t="n">
        <x:f>'Supuestos'!$B$12/IF('Supuestos'!$B$5="COP",1,'Supuestos'!$B$9)/B52</x:f>
        <x:v>800</x:v>
      </x:c>
      <x:c r="C23" s="33" t="n">
        <x:f>'Supuestos'!$B$12/IF('Supuestos'!$B$5="COP",1,'Supuestos'!$B$9)/C52</x:f>
        <x:v>800</x:v>
      </x:c>
      <x:c r="D23" s="33" t="n">
        <x:f>'Supuestos'!$B$12/IF('Supuestos'!$B$5="COP",1,'Supuestos'!$B$9)/D52</x:f>
        <x:v>800</x:v>
      </x:c>
      <x:c r="E23" s="33" t="n">
        <x:f>'Supuestos'!$B$12/IF('Supuestos'!$B$5="COP",1,'Supuestos'!$B$9)/E52</x:f>
        <x:v>800</x:v>
      </x:c>
      <x:c r="F23" s="33" t="n">
        <x:f>'Supuestos'!$B$12/IF('Supuestos'!$B$5="COP",1,'Supuestos'!$B$9)/F52</x:f>
        <x:v>800</x:v>
      </x:c>
    </x:row>
    <x:row r="24" ht="23" customHeight="1">
      <x:c r="A24" s="44" t="str">
        <x:v>Total costos SaaS</x:v>
      </x:c>
      <x:c r="B24" s="45" t="n">
        <x:f>IF(B56="Sí",SUM(B20:B23),"n.a.")</x:f>
        <x:v>29828</x:v>
      </x:c>
      <x:c r="C24" s="45" t="n">
        <x:f>IF(C56="Sí",SUM(C20:C23),"n.a.")</x:f>
        <x:v>83876</x:v>
      </x:c>
      <x:c r="D24" s="45" t="n">
        <x:f>IF(D56="Sí",SUM(D20:D23),"n.a.")</x:f>
        <x:v>311108</x:v>
      </x:c>
      <x:c r="E24" s="45" t="n">
        <x:f>IF(E56="Sí",SUM(E20:E23),"n.a.")</x:f>
        <x:v>1072392</x:v>
      </x:c>
      <x:c r="F24" s="45" t="str">
        <x:f>IF(F56="Sí",SUM(F20:F23),"n.a.")</x:f>
        <x:v>n.a.</x:v>
      </x:c>
    </x:row>
    <x:row r="25" ht="23" customHeight="1">
      <x:c r="A25" s="2"/>
      <x:c r="B25" s="18"/>
      <x:c r="C25" s="18"/>
      <x:c r="D25" s="18"/>
      <x:c r="E25" s="18"/>
      <x:c r="F25" s="18"/>
    </x:row>
    <x:row r="26" ht="23" customHeight="1">
      <x:c r="A26" s="2"/>
      <x:c r="B26" s="18"/>
      <x:c r="C26" s="18"/>
      <x:c r="D26" s="18"/>
      <x:c r="E26" s="18"/>
      <x:c r="F26" s="18"/>
    </x:row>
    <x:row r="27" ht="25" customHeight="1">
      <x:c r="A27" s="7" t="str">
        <x:v>Entregas y factura de Meta</x:v>
      </x:c>
      <x:c r="B27" s="34"/>
      <x:c r="C27" s="34"/>
      <x:c r="D27" s="34"/>
      <x:c r="E27" s="34"/>
      <x:c r="F27" s="34"/>
    </x:row>
    <x:row r="28" ht="23" customHeight="1">
      <x:c r="A28" s="2" t="str">
        <x:v>Servicio entregado: IA + humano</x:v>
      </x:c>
      <x:c r="B28" s="40" t="n">
        <x:f>IF(ISNUMBER(B19),ROUNDUP(B19*'Supuestos'!$B$18+'Supuestos'!$B$19,0),"n.a.")</x:f>
        <x:v>1900</x:v>
      </x:c>
      <x:c r="C28" s="40" t="n">
        <x:f>IF(ISNUMBER(C19),ROUNDUP(C19*'Supuestos'!$B$18+'Supuestos'!$B$19,0),"n.a.")</x:f>
        <x:v>7100</x:v>
      </x:c>
      <x:c r="D28" s="40" t="n">
        <x:f>IF(ISNUMBER(D19),ROUNDUP(D19*'Supuestos'!$B$18+'Supuestos'!$B$19,0),"n.a.")</x:f>
        <x:v>33100</x:v>
      </x:c>
      <x:c r="E28" s="40" t="n">
        <x:f>IF(ISNUMBER(E19),ROUNDUP(E19*'Supuestos'!$B$18+'Supuestos'!$B$19,0),"n.a.")</x:f>
        <x:v>130600</x:v>
      </x:c>
      <x:c r="F28" s="40" t="str">
        <x:f>IF(ISNUMBER(F19),ROUNDUP(F19*'Supuestos'!$B$18+'Supuestos'!$B$19,0),"n.a.")</x:f>
        <x:v>n.a.</x:v>
      </x:c>
    </x:row>
    <x:row r="29" ht="23" customHeight="1">
      <x:c r="A29" s="2" t="str">
        <x:v>Servicio gratuito aplicado</x:v>
      </x:c>
      <x:c r="B29" s="40" t="n">
        <x:f>IF(ISNUMBER(B28),MIN(B28,'Supuestos'!$B$23),"n.a.")</x:f>
        <x:v>1000</x:v>
      </x:c>
      <x:c r="C29" s="40" t="n">
        <x:f>IF(ISNUMBER(C28),MIN(C28,'Supuestos'!$B$23),"n.a.")</x:f>
        <x:v>1000</x:v>
      </x:c>
      <x:c r="D29" s="40" t="n">
        <x:f>IF(ISNUMBER(D28),MIN(D28,'Supuestos'!$B$23),"n.a.")</x:f>
        <x:v>1000</x:v>
      </x:c>
      <x:c r="E29" s="40" t="n">
        <x:f>IF(ISNUMBER(E28),MIN(E28,'Supuestos'!$B$23),"n.a.")</x:f>
        <x:v>1000</x:v>
      </x:c>
      <x:c r="F29" s="40" t="str">
        <x:f>IF(ISNUMBER(F28),MIN(F28,'Supuestos'!$B$23),"n.a.")</x:f>
        <x:v>n.a.</x:v>
      </x:c>
    </x:row>
    <x:row r="30" ht="23" customHeight="1">
      <x:c r="A30" s="2" t="str">
        <x:v>Servicio sujeto a cobro</x:v>
      </x:c>
      <x:c r="B30" s="19" t="n">
        <x:f>IF(ISNUMBER(B28),MAX(0,B28-B29),"n.a.")</x:f>
        <x:v>900</x:v>
      </x:c>
      <x:c r="C30" s="19" t="n">
        <x:f>IF(ISNUMBER(C28),MAX(0,C28-C29),"n.a.")</x:f>
        <x:v>6100</x:v>
      </x:c>
      <x:c r="D30" s="19" t="n">
        <x:f>IF(ISNUMBER(D28),MAX(0,D28-D29),"n.a.")</x:f>
        <x:v>32100</x:v>
      </x:c>
      <x:c r="E30" s="19" t="n">
        <x:f>IF(ISNUMBER(E28),MAX(0,E28-E29),"n.a.")</x:f>
        <x:v>129600</x:v>
      </x:c>
      <x:c r="F30" s="19" t="str">
        <x:f>IF(ISNUMBER(F28),MAX(0,F28-F29),"n.a.")</x:f>
        <x:v>n.a.</x:v>
      </x:c>
    </x:row>
    <x:row r="31" ht="23" customHeight="1">
      <x:c r="A31" s="2" t="str">
        <x:v>Utility entregadas</x:v>
      </x:c>
      <x:c r="B31" s="40" t="n">
        <x:f>'Supuestos'!$B$20</x:f>
        <x:v>200</x:v>
      </x:c>
      <x:c r="C31" s="40" t="n">
        <x:f>'Supuestos'!$B$20</x:f>
        <x:v>200</x:v>
      </x:c>
      <x:c r="D31" s="40" t="n">
        <x:f>'Supuestos'!$B$20</x:f>
        <x:v>200</x:v>
      </x:c>
      <x:c r="E31" s="40" t="n">
        <x:f>'Supuestos'!$B$20</x:f>
        <x:v>200</x:v>
      </x:c>
      <x:c r="F31" s="40" t="n">
        <x:f>'Supuestos'!$B$20</x:f>
        <x:v>200</x:v>
      </x:c>
    </x:row>
    <x:row r="32" ht="23" customHeight="1">
      <x:c r="A32" s="2" t="str">
        <x:v>Marketing entregadas</x:v>
      </x:c>
      <x:c r="B32" s="40" t="n">
        <x:f>'Supuestos'!$B$21</x:f>
        <x:v>0</x:v>
      </x:c>
      <x:c r="C32" s="40" t="n">
        <x:f>'Supuestos'!$B$21</x:f>
        <x:v>0</x:v>
      </x:c>
      <x:c r="D32" s="40" t="n">
        <x:f>'Supuestos'!$B$21</x:f>
        <x:v>0</x:v>
      </x:c>
      <x:c r="E32" s="40" t="n">
        <x:f>'Supuestos'!$B$21</x:f>
        <x:v>0</x:v>
      </x:c>
      <x:c r="F32" s="40" t="n">
        <x:f>'Supuestos'!$B$21</x:f>
        <x:v>0</x:v>
      </x:c>
    </x:row>
    <x:row r="33" ht="23" customHeight="1">
      <x:c r="A33" s="2" t="str">
        <x:v>Authentication entregadas</x:v>
      </x:c>
      <x:c r="B33" s="40" t="n">
        <x:f>'Supuestos'!$B$22</x:f>
        <x:v>0</x:v>
      </x:c>
      <x:c r="C33" s="40" t="n">
        <x:f>'Supuestos'!$B$22</x:f>
        <x:v>0</x:v>
      </x:c>
      <x:c r="D33" s="40" t="n">
        <x:f>'Supuestos'!$B$22</x:f>
        <x:v>0</x:v>
      </x:c>
      <x:c r="E33" s="40" t="n">
        <x:f>'Supuestos'!$B$22</x:f>
        <x:v>0</x:v>
      </x:c>
      <x:c r="F33" s="40" t="n">
        <x:f>'Supuestos'!$B$22</x:f>
        <x:v>0</x:v>
      </x:c>
    </x:row>
    <x:row r="34" ht="23" customHeight="1">
      <x:c r="A34" s="2" t="str">
        <x:v>Costo service en moneda WABA</x:v>
      </x:c>
      <x:c r="B34" s="33" t="n">
        <x:f>IF(ISNUMBER(B30),B30*'Supuestos'!$B$41,"n.a.")</x:f>
        <x:v>2650.95</x:v>
      </x:c>
      <x:c r="C34" s="33" t="n">
        <x:f>IF(ISNUMBER(C30),C30*'Supuestos'!$B$41,"n.a.")</x:f>
        <x:v>17967.55</x:v>
      </x:c>
      <x:c r="D34" s="33" t="n">
        <x:f>IF(ISNUMBER(D30),D30*'Supuestos'!$B$41,"n.a.")</x:f>
        <x:v>94550.55</x:v>
      </x:c>
      <x:c r="E34" s="33" t="n">
        <x:f>IF(ISNUMBER(E30),E30*'Supuestos'!$B$41,"n.a.")</x:f>
        <x:v>381736.8</x:v>
      </x:c>
      <x:c r="F34" s="33" t="str">
        <x:f>IF(ISNUMBER(F30),F30*'Supuestos'!$B$41,"n.a.")</x:f>
        <x:v>n.a.</x:v>
      </x:c>
    </x:row>
    <x:row r="35" ht="23" customHeight="1">
      <x:c r="A35" s="2" t="str">
        <x:v>Costo utility en moneda WABA</x:v>
      </x:c>
      <x:c r="B35" s="33" t="n">
        <x:f>B31*'Supuestos'!$B$42</x:f>
        <x:v>589.1</x:v>
      </x:c>
      <x:c r="C35" s="33" t="n">
        <x:f>C31*'Supuestos'!$B$42</x:f>
        <x:v>589.1</x:v>
      </x:c>
      <x:c r="D35" s="33" t="n">
        <x:f>D31*'Supuestos'!$B$42</x:f>
        <x:v>589.1</x:v>
      </x:c>
      <x:c r="E35" s="33" t="n">
        <x:f>E31*'Supuestos'!$B$42</x:f>
        <x:v>589.1</x:v>
      </x:c>
      <x:c r="F35" s="33" t="n">
        <x:f>F31*'Supuestos'!$B$42</x:f>
        <x:v>589.1</x:v>
      </x:c>
    </x:row>
    <x:row r="36" ht="23" customHeight="1">
      <x:c r="A36" s="2" t="str">
        <x:v>Costo marketing en moneda WABA</x:v>
      </x:c>
      <x:c r="B36" s="33" t="n">
        <x:f>B32*'Supuestos'!$B$43</x:f>
        <x:v>0</x:v>
      </x:c>
      <x:c r="C36" s="33" t="n">
        <x:f>C32*'Supuestos'!$B$43</x:f>
        <x:v>0</x:v>
      </x:c>
      <x:c r="D36" s="33" t="n">
        <x:f>D32*'Supuestos'!$B$43</x:f>
        <x:v>0</x:v>
      </x:c>
      <x:c r="E36" s="33" t="n">
        <x:f>E32*'Supuestos'!$B$43</x:f>
        <x:v>0</x:v>
      </x:c>
      <x:c r="F36" s="33" t="n">
        <x:f>F32*'Supuestos'!$B$43</x:f>
        <x:v>0</x:v>
      </x:c>
    </x:row>
    <x:row r="37" ht="23" customHeight="1">
      <x:c r="A37" s="2" t="str">
        <x:v>Costo authentication en moneda WABA</x:v>
      </x:c>
      <x:c r="B37" s="33" t="n">
        <x:f>B33*'Supuestos'!$B$44</x:f>
        <x:v>0</x:v>
      </x:c>
      <x:c r="C37" s="33" t="n">
        <x:f>C33*'Supuestos'!$B$44</x:f>
        <x:v>0</x:v>
      </x:c>
      <x:c r="D37" s="33" t="n">
        <x:f>D33*'Supuestos'!$B$44</x:f>
        <x:v>0</x:v>
      </x:c>
      <x:c r="E37" s="33" t="n">
        <x:f>E33*'Supuestos'!$B$44</x:f>
        <x:v>0</x:v>
      </x:c>
      <x:c r="F37" s="33" t="n">
        <x:f>F33*'Supuestos'!$B$44</x:f>
        <x:v>0</x:v>
      </x:c>
    </x:row>
    <x:row r="38" ht="23" customHeight="1">
      <x:c r="A38" s="44" t="str">
        <x:v>Total Meta en moneda WABA</x:v>
      </x:c>
      <x:c r="B38" s="45" t="n">
        <x:f>IF(ISNUMBER(B34),SUM(B34:B37),"n.a.")</x:f>
        <x:v>3240.0499999999997</x:v>
      </x:c>
      <x:c r="C38" s="45" t="n">
        <x:f>IF(ISNUMBER(C34),SUM(C34:C37),"n.a.")</x:f>
        <x:v>18556.649999999998</x:v>
      </x:c>
      <x:c r="D38" s="45" t="n">
        <x:f>IF(ISNUMBER(D34),SUM(D34:D37),"n.a.")</x:f>
        <x:v>95139.65000000001</x:v>
      </x:c>
      <x:c r="E38" s="45" t="n">
        <x:f>IF(ISNUMBER(E34),SUM(E34:E37),"n.a.")</x:f>
        <x:v>382325.89999999997</x:v>
      </x:c>
      <x:c r="F38" s="45" t="str">
        <x:f>IF(ISNUMBER(F34),SUM(F34:F37),"n.a.")</x:f>
        <x:v>n.a.</x:v>
      </x:c>
    </x:row>
    <x:row r="39" ht="23" customHeight="1">
      <x:c r="A39" s="2" t="str">
        <x:v>Conversión WABA a moneda resultado</x:v>
      </x:c>
      <x:c r="B39" s="41" t="n">
        <x:f>IF('Supuestos'!$B$5='Supuestos'!$B$8,1,IF('Supuestos'!$B$8="USD",'Supuestos'!$B$9,1/'Supuestos'!$B$9))</x:f>
        <x:v>1</x:v>
      </x:c>
      <x:c r="C39" s="41" t="n">
        <x:f>IF('Supuestos'!$B$5='Supuestos'!$B$8,1,IF('Supuestos'!$B$8="USD",'Supuestos'!$B$9,1/'Supuestos'!$B$9))</x:f>
        <x:v>1</x:v>
      </x:c>
      <x:c r="D39" s="41" t="n">
        <x:f>IF('Supuestos'!$B$5='Supuestos'!$B$8,1,IF('Supuestos'!$B$8="USD",'Supuestos'!$B$9,1/'Supuestos'!$B$9))</x:f>
        <x:v>1</x:v>
      </x:c>
      <x:c r="E39" s="41" t="n">
        <x:f>IF('Supuestos'!$B$5='Supuestos'!$B$8,1,IF('Supuestos'!$B$8="USD",'Supuestos'!$B$9,1/'Supuestos'!$B$9))</x:f>
        <x:v>1</x:v>
      </x:c>
      <x:c r="F39" s="41" t="n">
        <x:f>IF('Supuestos'!$B$5='Supuestos'!$B$8,1,IF('Supuestos'!$B$8="USD",'Supuestos'!$B$9,1/'Supuestos'!$B$9))</x:f>
        <x:v>1</x:v>
      </x:c>
    </x:row>
    <x:row r="40" ht="23" customHeight="1">
      <x:c r="A40" s="44" t="str">
        <x:v>Total Meta en moneda resultado</x:v>
      </x:c>
      <x:c r="B40" s="45" t="n">
        <x:f>IF(ISNUMBER(B38),B38*B39,"n.a.")</x:f>
        <x:v>3240.0499999999997</x:v>
      </x:c>
      <x:c r="C40" s="45" t="n">
        <x:f>IF(ISNUMBER(C38),C38*C39,"n.a.")</x:f>
        <x:v>18556.649999999998</x:v>
      </x:c>
      <x:c r="D40" s="45" t="n">
        <x:f>IF(ISNUMBER(D38),D38*D39,"n.a.")</x:f>
        <x:v>95139.65000000001</x:v>
      </x:c>
      <x:c r="E40" s="45" t="n">
        <x:f>IF(ISNUMBER(E38),E38*E39,"n.a.")</x:f>
        <x:v>382325.89999999997</x:v>
      </x:c>
      <x:c r="F40" s="45" t="str">
        <x:f>IF(ISNUMBER(F38),F38*F39,"n.a.")</x:f>
        <x:v>n.a.</x:v>
      </x:c>
    </x:row>
    <x:row r="41" ht="23" customHeight="1">
      <x:c r="A41" s="2"/>
      <x:c r="B41" s="18"/>
      <x:c r="C41" s="18"/>
      <x:c r="D41" s="18"/>
      <x:c r="E41" s="18"/>
      <x:c r="F41" s="18"/>
    </x:row>
    <x:row r="42" ht="25" customHeight="1">
      <x:c r="A42" s="7" t="str">
        <x:v>Precio y cuota al margen objetivo</x:v>
      </x:c>
      <x:c r="B42" s="34"/>
      <x:c r="C42" s="34"/>
      <x:c r="D42" s="34"/>
      <x:c r="E42" s="34"/>
      <x:c r="F42" s="34"/>
    </x:row>
    <x:row r="43" ht="23" customHeight="1">
      <x:c r="A43" s="36" t="str">
        <x:v>Margen objetivo</x:v>
      </x:c>
      <x:c r="B43" s="39" t="n">
        <x:f>'Supuestos'!$B$13</x:f>
        <x:v>0.7</x:v>
      </x:c>
      <x:c r="C43" s="39" t="n">
        <x:f>'Supuestos'!$B$13</x:f>
        <x:v>0.7</x:v>
      </x:c>
      <x:c r="D43" s="39" t="n">
        <x:f>'Supuestos'!$B$13</x:f>
        <x:v>0.7</x:v>
      </x:c>
      <x:c r="E43" s="39" t="n">
        <x:f>'Supuestos'!$B$13</x:f>
        <x:v>0.7</x:v>
      </x:c>
      <x:c r="F43" s="39" t="n">
        <x:f>'Supuestos'!$B$13</x:f>
        <x:v>0.7</x:v>
      </x:c>
    </x:row>
    <x:row r="44" ht="23" customHeight="1">
      <x:c r="A44" s="2" t="str">
        <x:v>Costo total disponible al objetivo</x:v>
      </x:c>
      <x:c r="B44" s="18" t="n">
        <x:f>IF(ISNUMBER(B7),B7*(1-B43),"n.a.")</x:f>
        <x:v>37710.00000000001</x:v>
      </x:c>
      <x:c r="C44" s="18" t="n">
        <x:f>IF(ISNUMBER(C7),C7*(1-C43),"n.a.")</x:f>
        <x:v>83070.00000000001</x:v>
      </x:c>
      <x:c r="D44" s="18" t="n">
        <x:f>IF(ISNUMBER(D7),D7*(1-D43),"n.a.")</x:f>
        <x:v>227310.00000000003</x:v>
      </x:c>
      <x:c r="E44" s="18" t="n">
        <x:f>IF(ISNUMBER(E7),E7*(1-E43),"n.a.")</x:f>
        <x:v>536940.0000000001</x:v>
      </x:c>
      <x:c r="F44" s="18" t="str">
        <x:f>IF(ISNUMBER(F7),F7*(1-F43),"n.a.")</x:f>
        <x:v>n.a.</x:v>
      </x:c>
    </x:row>
    <x:row r="45" ht="23" customHeight="1">
      <x:c r="A45" s="44" t="str">
        <x:v>Precio mínimo bruto mensual al objetivo</x:v>
      </x:c>
      <x:c r="B45" s="47" t="n">
        <x:f>IF(B56&lt;&gt;"Sí","n.a.",IF((1-B43)/(1+'Supuestos'!$B$10)&lt;='Supuestos'!$B$11,"n.a.",SUM(B20:B21,B23,B10)/((1-B43)/(1+'Supuestos'!$B$10)-'Supuestos'!$B$11)))</x:f>
        <x:v>95384.61538461536</x:v>
      </x:c>
      <x:c r="C45" s="47" t="n">
        <x:f>IF(C56&lt;&gt;"Sí","n.a.",IF((1-C43)/(1+'Supuestos'!$B$10)&lt;='Supuestos'!$B$11,"n.a.",SUM(C20:C21,C23,C10)/((1-C43)/(1+'Supuestos'!$B$10)-'Supuestos'!$B$11)))</x:f>
        <x:v>279999.99999999994</x:v>
      </x:c>
      <x:c r="D45" s="47" t="n">
        <x:f>IF(D56&lt;&gt;"Sí","n.a.",IF((1-D43)/(1+'Supuestos'!$B$10)&lt;='Supuestos'!$B$11,"n.a.",SUM(D20:D21,D23,D10)/((1-D43)/(1+'Supuestos'!$B$10)-'Supuestos'!$B$11)))</x:f>
        <x:v>1079999.9999999998</x:v>
      </x:c>
      <x:c r="E45" s="47" t="n">
        <x:f>IF(E56&lt;&gt;"Sí","n.a.",IF((1-E43)/(1+'Supuestos'!$B$10)&lt;='Supuestos'!$B$11,"n.a.",SUM(E20:E21,E23,E10)/((1-E43)/(1+'Supuestos'!$B$10)-'Supuestos'!$B$11)))</x:f>
        <x:v>3849230.769230768</x:v>
      </x:c>
      <x:c r="F45" s="47" t="str">
        <x:f>IF(F56&lt;&gt;"Sí","n.a.",IF((1-F43)/(1+'Supuestos'!$B$10)&lt;='Supuestos'!$B$11,"n.a.",SUM(F20:F21,F23,F10)/((1-F43)/(1+'Supuestos'!$B$10)-'Supuestos'!$B$11)))</x:f>
        <x:v>n.a.</x:v>
      </x:c>
    </x:row>
    <x:row r="46" ht="23" customHeight="1">
      <x:c r="A46" s="2" t="str">
        <x:v>Presupuesto para IA tras costos fijos</x:v>
      </x:c>
      <x:c r="B46" s="18" t="n">
        <x:f>IF(B56="Sí",B44-SUM(B21:B23,B55),"n.a.")</x:f>
        <x:v>15882.000000000007</x:v>
      </x:c>
      <x:c r="C46" s="18" t="n">
        <x:f>IF(C56="Sí",C44-SUM(C21:C23,C55),"n.a.")</x:f>
        <x:v>39194.000000000015</x:v>
      </x:c>
      <x:c r="D46" s="18" t="n">
        <x:f>IF(D56="Sí",D44-SUM(D21:D23,D55),"n.a.")</x:f>
        <x:v>116202.00000000003</x:v>
      </x:c>
      <x:c r="E46" s="18" t="n">
        <x:f>IF(E56="Sí",E44-SUM(E21:E23,E55),"n.a.")</x:f>
        <x:v>264548.0000000001</x:v>
      </x:c>
      <x:c r="F46" s="18" t="str">
        <x:f>IF(F56="Sí",F44-SUM(F21:F23,F55),"n.a.")</x:f>
        <x:v>n.a.</x:v>
      </x:c>
    </x:row>
    <x:row r="47" ht="23" customHeight="1">
      <x:c r="A47" s="2" t="str">
        <x:v>Turnos antes de agotar servicio gratis</x:v>
      </x:c>
      <x:c r="B47" s="33" t="n">
        <x:f>IF('Supuestos'!$B$18&gt;0,MAX(0,'Supuestos'!$B$23-'Supuestos'!$B$19)/'Supuestos'!$B$18,0)</x:f>
        <x:v>307.6923076923077</x:v>
      </x:c>
      <x:c r="C47" s="33" t="n">
        <x:f>IF('Supuestos'!$B$18&gt;0,MAX(0,'Supuestos'!$B$23-'Supuestos'!$B$19)/'Supuestos'!$B$18,0)</x:f>
        <x:v>307.6923076923077</x:v>
      </x:c>
      <x:c r="D47" s="33" t="n">
        <x:f>IF('Supuestos'!$B$18&gt;0,MAX(0,'Supuestos'!$B$23-'Supuestos'!$B$19)/'Supuestos'!$B$18,0)</x:f>
        <x:v>307.6923076923077</x:v>
      </x:c>
      <x:c r="E47" s="33" t="n">
        <x:f>IF('Supuestos'!$B$18&gt;0,MAX(0,'Supuestos'!$B$23-'Supuestos'!$B$19)/'Supuestos'!$B$18,0)</x:f>
        <x:v>307.6923076923077</x:v>
      </x:c>
      <x:c r="F47" s="33" t="n">
        <x:f>IF('Supuestos'!$B$18&gt;0,MAX(0,'Supuestos'!$B$23-'Supuestos'!$B$19)/'Supuestos'!$B$18,0)</x:f>
        <x:v>307.6923076923077</x:v>
      </x:c>
    </x:row>
    <x:row r="48" ht="23" customHeight="1">
      <x:c r="A48" s="2" t="str">
        <x:v>Costo por turno tras servicio gratis</x:v>
      </x:c>
      <x:c r="B48" s="41" t="n">
        <x:f>B53+'Supuestos'!$B$16*'Supuestos'!$B$18*B54</x:f>
        <x:v>8</x:v>
      </x:c>
      <x:c r="C48" s="41" t="n">
        <x:f>C53+'Supuestos'!$B$16*'Supuestos'!$B$18*C54</x:f>
        <x:v>8</x:v>
      </x:c>
      <x:c r="D48" s="41" t="n">
        <x:f>D53+'Supuestos'!$B$16*'Supuestos'!$B$18*D54</x:f>
        <x:v>8</x:v>
      </x:c>
      <x:c r="E48" s="41" t="n">
        <x:f>E53+'Supuestos'!$B$16*'Supuestos'!$B$18*E54</x:f>
        <x:v>8</x:v>
      </x:c>
      <x:c r="F48" s="41" t="n">
        <x:f>F53+'Supuestos'!$B$16*'Supuestos'!$B$18*F54</x:f>
        <x:v>8</x:v>
      </x:c>
    </x:row>
    <x:row r="49" ht="23" customHeight="1">
      <x:c r="A49" s="44" t="str">
        <x:v>Cuota IA conservadora al objetivo</x:v>
      </x:c>
      <x:c r="B49" s="49" t="n">
        <x:f>IF(B56&lt;&gt;"Sí","n.a.",IF(B46&lt;=0,0,IF(B53&lt;=0,"n.a.",IF(B46&lt;=B53*B47,ROUNDDOWN(B46/B53,0),ROUNDDOWN(MAX(B47,B47+(B46-B53*B47-IF('Supuestos'!$B$18&gt;0,'Supuestos'!$B$16*B54,0))/B48),0)))))</x:f>
        <x:v>1985</x:v>
      </x:c>
      <x:c r="C49" s="49" t="n">
        <x:f>IF(C56&lt;&gt;"Sí","n.a.",IF(C46&lt;=0,0,IF(C53&lt;=0,"n.a.",IF(C46&lt;=C53*C47,ROUNDDOWN(C46/C53,0),ROUNDDOWN(MAX(C47,C47+(C46-C53*C47-IF('Supuestos'!$B$18&gt;0,'Supuestos'!$B$16*C54,0))/C48),0)))))</x:f>
        <x:v>4899</x:v>
      </x:c>
      <x:c r="D49" s="49" t="n">
        <x:f>IF(D56&lt;&gt;"Sí","n.a.",IF(D46&lt;=0,0,IF(D53&lt;=0,"n.a.",IF(D46&lt;=D53*D47,ROUNDDOWN(D46/D53,0),ROUNDDOWN(MAX(D47,D47+(D46-D53*D47-IF('Supuestos'!$B$18&gt;0,'Supuestos'!$B$16*D54,0))/D48),0)))))</x:f>
        <x:v>14525</x:v>
      </x:c>
      <x:c r="E49" s="49" t="n">
        <x:f>IF(E56&lt;&gt;"Sí","n.a.",IF(E46&lt;=0,0,IF(E53&lt;=0,"n.a.",IF(E46&lt;=E53*E47,ROUNDDOWN(E46/E53,0),ROUNDDOWN(MAX(E47,E47+(E46-E53*E47-IF('Supuestos'!$B$18&gt;0,'Supuestos'!$B$16*E54,0))/E48),0)))))</x:f>
        <x:v>33068</x:v>
      </x:c>
      <x:c r="F49" s="49" t="str">
        <x:f>IF(F56&lt;&gt;"Sí","n.a.",IF(F46&lt;=0,0,IF(F53&lt;=0,"n.a.",IF(F46&lt;=F53*F47,ROUNDDOWN(F46/F53,0),ROUNDDOWN(MAX(F47,F47+(F46-F53*F47-IF('Supuestos'!$B$18&gt;0,'Supuestos'!$B$16*F54,0))/F48),0)))))</x:f>
        <x:v>n.a.</x:v>
      </x:c>
    </x:row>
    <x:row r="50" ht="23" customHeight="1">
      <x:c r="A50" s="36" t="str">
        <x:v>Cuota sostenible / cuota del plan</x:v>
      </x:c>
      <x:c r="B50" s="37" t="n">
        <x:f>IF(B56&lt;&gt;"Sí","n.a.",IF(B17=0,"n.a.",B49/B17))</x:f>
        <x:v>1.985</x:v>
      </x:c>
      <x:c r="C50" s="37" t="n">
        <x:f>IF(C56&lt;&gt;"Sí","n.a.",IF(C17=0,"n.a.",C49/C17))</x:f>
        <x:v>0.9798</x:v>
      </x:c>
      <x:c r="D50" s="37" t="n">
        <x:f>IF(D56&lt;&gt;"Sí","n.a.",IF(D17=0,"n.a.",D49/D17))</x:f>
        <x:v>0.581</x:v>
      </x:c>
      <x:c r="E50" s="37" t="n">
        <x:f>IF(E56&lt;&gt;"Sí","n.a.",IF(E17=0,"n.a.",E49/E17))</x:f>
        <x:v>0.33068</x:v>
      </x:c>
      <x:c r="F50" s="37" t="str">
        <x:f>IF(F56&lt;&gt;"Sí","n.a.",IF(F17=0,"n.a.",F49/F17))</x:f>
        <x:v>n.a.</x:v>
      </x:c>
    </x:row>
    <x:row r="51" ht="25" customHeight="1">
      <x:c r="A51" s="7" t="str">
        <x:v>Factores del cálculo</x:v>
      </x:c>
      <x:c r="B51" s="34"/>
      <x:c r="C51" s="34"/>
      <x:c r="D51" s="34"/>
      <x:c r="E51" s="34"/>
      <x:c r="F51" s="34"/>
    </x:row>
    <x:row r="52" ht="23" customHeight="1">
      <x:c r="A52" s="2" t="str">
        <x:v>Meses incluidos en el cargo</x:v>
      </x:c>
      <x:c r="B52" s="40" t="n">
        <x:f>IF('Supuestos'!$B$6="Anual",12,1)</x:f>
        <x:v>1</x:v>
      </x:c>
      <x:c r="C52" s="40" t="n">
        <x:f>IF('Supuestos'!$B$6="Anual",12,1)</x:f>
        <x:v>1</x:v>
      </x:c>
      <x:c r="D52" s="40" t="n">
        <x:f>IF('Supuestos'!$B$6="Anual",12,1)</x:f>
        <x:v>1</x:v>
      </x:c>
      <x:c r="E52" s="40" t="n">
        <x:f>IF('Supuestos'!$B$6="Anual",12,1)</x:f>
        <x:v>1</x:v>
      </x:c>
      <x:c r="F52" s="40" t="n">
        <x:f>IF('Supuestos'!$B$6="Anual",12,1)</x:f>
        <x:v>1</x:v>
      </x:c>
    </x:row>
    <x:row r="53" ht="23" customHeight="1">
      <x:c r="A53" s="2" t="str">
        <x:v>Costo IA por turno (moneda resultado)</x:v>
      </x:c>
      <x:c r="B53" s="41" t="n">
        <x:f>'Supuestos'!$B$15*IF('Supuestos'!$B$5="COP",'Supuestos'!$B$9,1)</x:f>
        <x:v>8</x:v>
      </x:c>
      <x:c r="C53" s="41" t="n">
        <x:f>'Supuestos'!$B$15*IF('Supuestos'!$B$5="COP",'Supuestos'!$B$9,1)</x:f>
        <x:v>8</x:v>
      </x:c>
      <x:c r="D53" s="41" t="n">
        <x:f>'Supuestos'!$B$15*IF('Supuestos'!$B$5="COP",'Supuestos'!$B$9,1)</x:f>
        <x:v>8</x:v>
      </x:c>
      <x:c r="E53" s="41" t="n">
        <x:f>'Supuestos'!$B$15*IF('Supuestos'!$B$5="COP",'Supuestos'!$B$9,1)</x:f>
        <x:v>8</x:v>
      </x:c>
      <x:c r="F53" s="41" t="n">
        <x:f>'Supuestos'!$B$15*IF('Supuestos'!$B$5="COP",'Supuestos'!$B$9,1)</x:f>
        <x:v>8</x:v>
      </x:c>
    </x:row>
    <x:row r="54" ht="23" customHeight="1">
      <x:c r="A54" s="2" t="str">
        <x:v>Costo service (moneda resultado)</x:v>
      </x:c>
      <x:c r="B54" s="41" t="n">
        <x:f>'Supuestos'!$B$41*B39</x:f>
        <x:v>2.9455</x:v>
      </x:c>
      <x:c r="C54" s="41" t="n">
        <x:f>'Supuestos'!$B$41*C39</x:f>
        <x:v>2.9455</x:v>
      </x:c>
      <x:c r="D54" s="41" t="n">
        <x:f>'Supuestos'!$B$41*D39</x:f>
        <x:v>2.9455</x:v>
      </x:c>
      <x:c r="E54" s="41" t="n">
        <x:f>'Supuestos'!$B$41*E39</x:f>
        <x:v>2.9455</x:v>
      </x:c>
      <x:c r="F54" s="41" t="n">
        <x:f>'Supuestos'!$B$41*F39</x:f>
        <x:v>2.9455</x:v>
      </x:c>
    </x:row>
    <x:row r="55" ht="23" customHeight="1">
      <x:c r="A55" s="2" t="str">
        <x:v>Meta fijo adicional asumido</x:v>
      </x:c>
      <x:c r="B55" s="33" t="n">
        <x:f>'Supuestos'!$B$16*(SUM(B35:B37)*B39+MAX(0,'Supuestos'!$B$19-'Supuestos'!$B$23)*B54)</x:f>
        <x:v>0</x:v>
      </x:c>
      <x:c r="C55" s="33" t="n">
        <x:f>'Supuestos'!$B$16*(SUM(C35:C37)*C39+MAX(0,'Supuestos'!$B$19-'Supuestos'!$B$23)*C54)</x:f>
        <x:v>0</x:v>
      </x:c>
      <x:c r="D55" s="33" t="n">
        <x:f>'Supuestos'!$B$16*(SUM(D35:D37)*D39+MAX(0,'Supuestos'!$B$19-'Supuestos'!$B$23)*D54)</x:f>
        <x:v>0</x:v>
      </x:c>
      <x:c r="E55" s="33" t="n">
        <x:f>'Supuestos'!$B$16*(SUM(E35:E37)*E39+MAX(0,'Supuestos'!$B$19-'Supuestos'!$B$23)*E54)</x:f>
        <x:v>0</x:v>
      </x:c>
      <x:c r="F55" s="33" t="n">
        <x:f>'Supuestos'!$B$16*(SUM(F35:F37)*F39+MAX(0,'Supuestos'!$B$19-'Supuestos'!$B$23)*F54)</x:f>
        <x:v>0</x:v>
      </x:c>
    </x:row>
    <x:row r="56" ht="23" customHeight="1">
      <x:c r="A56" s="2" t="str">
        <x:v>Precio y costo completos</x:v>
      </x:c>
      <x:c r="B56" s="33" t="str">
        <x:f>IF(AND(ISNUMBER(B6),ISNUMBER(B17),ISNUMBER(B21),ISNUMBER(B53),ISNUMBER(B54),'Supuestos'!$B$17=1),"Sí","No")</x:f>
        <x:v>Sí</x:v>
      </x:c>
      <x:c r="C56" s="33" t="str">
        <x:f>IF(AND(ISNUMBER(C6),ISNUMBER(C17),ISNUMBER(C21),ISNUMBER(C53),ISNUMBER(C54),'Supuestos'!$B$17=1),"Sí","No")</x:f>
        <x:v>Sí</x:v>
      </x:c>
      <x:c r="D56" s="33" t="str">
        <x:f>IF(AND(ISNUMBER(D6),ISNUMBER(D17),ISNUMBER(D21),ISNUMBER(D53),ISNUMBER(D54),'Supuestos'!$B$17=1),"Sí","No")</x:f>
        <x:v>Sí</x:v>
      </x:c>
      <x:c r="E56" s="33" t="str">
        <x:f>IF(AND(ISNUMBER(E6),ISNUMBER(E17),ISNUMBER(E21),ISNUMBER(E53),ISNUMBER(E54),'Supuestos'!$B$17=1),"Sí","No")</x:f>
        <x:v>Sí</x:v>
      </x:c>
      <x:c r="F56" s="33" t="str">
        <x:f>IF(AND(ISNUMBER(F6),ISNUMBER(F17),ISNUMBER(F21),ISNUMBER(F53),ISNUMBER(F54),'Supuestos'!$B$17=1),"Sí","No")</x:f>
        <x:v>No</x:v>
      </x:c>
    </x:row>
    <x:row r="57" ht="23" customHeight="1">
      <x:c r="A57" s="2" t="str">
        <x:v>Al absorber Meta se reserva un mensaje adicional para redondeo.</x:v>
      </x:c>
      <x:c r="B57" s="2"/>
      <x:c r="C57" s="2"/>
      <x:c r="D57" s="2"/>
      <x:c r="E57" s="2"/>
      <x:c r="F57" s="2"/>
    </x:row>
  </x:sheetData>
  <x:conditionalFormatting sqref="B12:F12">
    <x:cfRule type="cellIs" dxfId="0" priority="1" operator="lessThan">
      <x:formula>'Supuestos'!$B$13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748E"/>
  </x:sheetPr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0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Supuestos editables</x:v>
      </x:c>
      <x:c r="B2" s="2"/>
      <x:c r="C2" s="2"/>
      <x:c r="D2" s="2"/>
      <x:c r="E2" s="2"/>
      <x:c r="F2" s="2"/>
    </x:row>
    <x:row r="3" ht="23" customHeight="1">
      <x:c r="A3" s="4"/>
      <x:c r="B3" s="4"/>
      <x:c r="C3" s="4"/>
      <x:c r="D3" s="4"/>
      <x:c r="E3" s="4"/>
      <x:c r="F3" s="4"/>
    </x:row>
    <x:row r="4" ht="23" customHeight="1">
      <x:c r="A4" s="8" t="str">
        <x:v>Control</x:v>
      </x:c>
      <x:c r="B4" s="8" t="str">
        <x:v>Valor activo</x:v>
      </x:c>
      <x:c r="C4" s="2"/>
      <x:c r="D4" s="2"/>
      <x:c r="E4" s="2"/>
      <x:c r="F4" s="2"/>
    </x:row>
    <x:row r="5" ht="23" customHeight="1">
      <x:c r="A5" s="2" t="str">
        <x:v>Moneda de resultado / precio SaaS</x:v>
      </x:c>
      <x:c r="B5" s="13" t="str">
        <x:v>COP</x:v>
      </x:c>
      <x:c r="C5" s="2"/>
      <x:c r="D5" s="11" t="str">
        <x:v>USD es referencia de catálogo; no prueba un rail de cobro activo.</x:v>
      </x:c>
      <x:c r="E5" s="2"/>
      <x:c r="F5" s="2"/>
    </x:row>
    <x:row r="6" ht="23" customHeight="1">
      <x:c r="A6" s="2" t="str">
        <x:v>Ciclo contractual</x:v>
      </x:c>
      <x:c r="B6" s="13" t="str">
        <x:v>Mensual</x:v>
      </x:c>
      <x:c r="C6" s="2"/>
      <x:c r="D6" s="11" t="str">
        <x:v>Anual usa cargo COP / 12. USD anual no tiene precio fuente.</x:v>
      </x:c>
      <x:c r="E6" s="2"/>
      <x:c r="F6" s="2"/>
    </x:row>
    <x:row r="7" ht="23" customHeight="1">
      <x:c r="A7" s="2" t="str">
        <x:v>País del destinatario</x:v>
      </x:c>
      <x:c r="B7" s="13" t="str">
        <x:v>Colombia</x:v>
      </x:c>
      <x:c r="C7" s="2"/>
      <x:c r="D7" s="11" t="str">
        <x:v>Un mercado. Mezcla: usar orden real o rango; no duplicar cuota por país.</x:v>
      </x:c>
      <x:c r="E7" s="2"/>
      <x:c r="F7" s="2"/>
    </x:row>
    <x:row r="8" ht="23" customHeight="1">
      <x:c r="A8" s="2" t="str">
        <x:v>Moneda real de la WABA</x:v>
      </x:c>
      <x:c r="B8" s="13" t="str">
        <x:v>COP</x:v>
      </x:c>
      <x:c r="C8" s="2"/>
      <x:c r="D8" s="11" t="str">
        <x:v>Se usa la tarjeta oficial de esa moneda, nunca COP inferido por FX.</x:v>
      </x:c>
      <x:c r="E8" s="2"/>
      <x:c r="F8" s="2"/>
    </x:row>
    <x:row r="9" ht="23" customHeight="1">
      <x:c r="A9" s="2" t="str">
        <x:v>FX de escenario: COP por USD</x:v>
      </x:c>
      <x:c r="B9" s="13" t="n">
        <x:v>4000</x:v>
      </x:c>
      <x:c r="C9" s="2"/>
      <x:c r="D9" s="11" t="str">
        <x:v>Hipótesis editable; no es una TRM observada.</x:v>
      </x:c>
      <x:c r="E9" s="2"/>
      <x:c r="F9" s="2"/>
    </x:row>
    <x:row r="10" ht="23" customHeight="1">
      <x:c r="A10" s="2" t="str">
        <x:v>IVA incluido en precio SaaS</x:v>
      </x:c>
      <x:c r="B10" s="14" t="n">
        <x:v>0</x:v>
      </x:c>
      <x:c r="C10" s="2"/>
      <x:c r="D10" s="11" t="str">
        <x:v>Hipótesis 0 %. No constituye un dictamen fiscal.</x:v>
      </x:c>
      <x:c r="E10" s="2"/>
      <x:c r="F10" s="2"/>
    </x:row>
    <x:row r="11" ht="23" customHeight="1">
      <x:c r="A11" s="2" t="str">
        <x:v>Comisión variable de cobro</x:v>
      </x:c>
      <x:c r="B11" s="14" t="n">
        <x:v>0.04</x:v>
      </x:c>
      <x:c r="C11" s="2"/>
      <x:c r="D11" s="11" t="str">
        <x:v>Hipótesis 4 % sobre precio bruto. No es contrato Wompi.</x:v>
      </x:c>
      <x:c r="E11" s="2"/>
      <x:c r="F11" s="2"/>
    </x:row>
    <x:row r="12" ht="23" customHeight="1">
      <x:c r="A12" s="2" t="str">
        <x:v>Cargo fijo de cobro (COP/operación)</x:v>
      </x:c>
      <x:c r="B12" s="13" t="n">
        <x:v>800</x:v>
      </x:c>
      <x:c r="C12" s="2"/>
      <x:c r="D12" s="11" t="str">
        <x:v>Hipótesis COP 800. Anual: un cobro, dividido en 12 meses.</x:v>
      </x:c>
      <x:c r="E12" s="2"/>
      <x:c r="F12" s="2"/>
    </x:row>
    <x:row r="13" ht="23" customHeight="1">
      <x:c r="A13" s="2" t="str">
        <x:v>Margen objetivo</x:v>
      </x:c>
      <x:c r="B13" s="14" t="n">
        <x:v>0.7</x:v>
      </x:c>
      <x:c r="C13" s="2"/>
      <x:c r="D13" s="11" t="str">
        <x:v>Política propuesta, no margen actual demostrado.</x:v>
      </x:c>
      <x:c r="E13" s="2"/>
      <x:c r="F13" s="2"/>
    </x:row>
    <x:row r="14" ht="23" customHeight="1">
      <x:c r="A14" s="2" t="str">
        <x:v>Consumo de la cuota IA</x:v>
      </x:c>
      <x:c r="B14" s="14" t="n">
        <x:v>1</x:v>
      </x:c>
      <x:c r="C14" s="2"/>
      <x:c r="D14" s="11" t="str">
        <x:v>Escenario 100 %. Editable entre 0 y 100 %.</x:v>
      </x:c>
      <x:c r="E14" s="2"/>
      <x:c r="F14" s="2"/>
    </x:row>
    <x:row r="15" ht="23" customHeight="1">
      <x:c r="A15" s="2" t="str">
        <x:v>Costo variable por turno IA (USD)</x:v>
      </x:c>
      <x:c r="B15" s="15" t="n">
        <x:v>0.002</x:v>
      </x:c>
      <x:c r="C15" s="2"/>
      <x:c r="D15" s="11" t="str">
        <x:v>Incluye sus iteraciones IA; reemplazar con uso real conciliado.</x:v>
      </x:c>
      <x:c r="E15" s="2"/>
      <x:c r="F15" s="2"/>
    </x:row>
    <x:row r="16" ht="23" customHeight="1">
      <x:c r="A16" s="2" t="str">
        <x:v>Parallly absorbe Meta: 0 no / 1 sí</x:v>
      </x:c>
      <x:c r="B16" s="13" t="n">
        <x:v>0</x:v>
      </x:c>
      <x:c r="C16" s="2"/>
      <x:c r="D16" s="11" t="str">
        <x:v>Con 0 el tenant paga Meta directo; no hay ingreso por reventa.</x:v>
      </x:c>
      <x:c r="E16" s="2"/>
      <x:c r="F16" s="2"/>
    </x:row>
    <x:row r="17" ht="23" customHeight="1">
      <x:c r="A17" s="2" t="str">
        <x:v>Números usados en este escenario</x:v>
      </x:c>
      <x:c r="B17" s="13" t="n">
        <x:v>1</x:v>
      </x:c>
      <x:c r="C17" s="2"/>
      <x:c r="D17" s="11" t="str">
        <x:v>Modelo de un número. No multiplica beneficios por números del plan.</x:v>
      </x:c>
      <x:c r="E17" s="2"/>
      <x:c r="F17" s="2"/>
    </x:row>
    <x:row r="18" ht="23" customHeight="1">
      <x:c r="A18" s="2" t="str">
        <x:v>Mensajes de servicio por turno IA</x:v>
      </x:c>
      <x:c r="B18" s="16" t="n">
        <x:v>1.3</x:v>
      </x:c>
      <x:c r="C18" s="2"/>
      <x:c r="D18" s="11" t="str">
        <x:v>Supuesto. Un turno IA puede emitir varias entregas.</x:v>
      </x:c>
      <x:c r="E18" s="2"/>
      <x:c r="F18" s="2"/>
    </x:row>
    <x:row r="19" ht="23" customHeight="1">
      <x:c r="A19" s="2" t="str">
        <x:v>Servicio humano / extra por mes</x:v>
      </x:c>
      <x:c r="B19" s="13" t="n">
        <x:v>600</x:v>
      </x:c>
      <x:c r="C19" s="2"/>
      <x:c r="D19" s="11" t="str">
        <x:v>Supuesto de entregas adicionales que consumen el mismo beneficio.</x:v>
      </x:c>
      <x:c r="E19" s="2"/>
      <x:c r="F19" s="2"/>
    </x:row>
    <x:row r="20" ht="23" customHeight="1">
      <x:c r="A20" s="2" t="str">
        <x:v>Plantillas utility entregadas / mes</x:v>
      </x:c>
      <x:c r="B20" s="13" t="n">
        <x:v>200</x:v>
      </x:c>
      <x:c r="C20" s="2"/>
      <x:c r="D20" s="11" t="str">
        <x:v>Sin beneficio gratuito en este escenario de octubre. Tarifa base.</x:v>
      </x:c>
      <x:c r="E20" s="2"/>
      <x:c r="F20" s="2"/>
    </x:row>
    <x:row r="21" ht="23" customHeight="1">
      <x:c r="A21" s="2" t="str">
        <x:v>Plantillas marketing / mes</x:v>
      </x:c>
      <x:c r="B21" s="13" t="n">
        <x:v>0</x:v>
      </x:c>
      <x:c r="C21" s="2"/>
      <x:c r="D21" s="11" t="str">
        <x:v>Hipótesis editable. Tarifa base, sin descuentos por volumen.</x:v>
      </x:c>
      <x:c r="E21" s="2"/>
      <x:c r="F21" s="2"/>
    </x:row>
    <x:row r="22" ht="23" customHeight="1">
      <x:c r="A22" s="2" t="str">
        <x:v>Plantillas authentication / mes</x:v>
      </x:c>
      <x:c r="B22" s="13" t="n">
        <x:v>0</x:v>
      </x:c>
      <x:c r="C22" s="2"/>
      <x:c r="D22" s="11" t="str">
        <x:v>Usa authentication doméstica, no internacional.</x:v>
      </x:c>
      <x:c r="E22" s="2"/>
      <x:c r="F22" s="2"/>
    </x:row>
    <x:row r="23" ht="23" customHeight="1">
      <x:c r="A23" s="2" t="str">
        <x:v>Servicio gratis por número / mes</x:v>
      </x:c>
      <x:c r="B23" s="2" t="n">
        <x:v>1000</x:v>
      </x:c>
      <x:c r="C23" s="2"/>
      <x:c r="D23" s="11" t="str">
        <x:v>Regla Meta investigada. Una sola cuota para servicio, no utility.</x:v>
      </x:c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5" customHeight="1">
      <x:c r="A25" s="7" t="str">
        <x:v>Costos restantes por mes (USD)</x:v>
      </x:c>
      <x:c r="B25" s="7"/>
      <x:c r="C25" s="7"/>
      <x:c r="D25" s="7"/>
      <x:c r="E25" s="7"/>
      <x:c r="F25" s="7"/>
    </x:row>
    <x:row r="26" ht="23" customHeight="1">
      <x:c r="A26" s="8"/>
      <x:c r="B26" s="8" t="str">
        <x:v>Emprendedor</x:v>
      </x:c>
      <x:c r="C26" s="8" t="str">
        <x:v>Starter</x:v>
      </x:c>
      <x:c r="D26" s="8" t="str">
        <x:v>Pro</x:v>
      </x:c>
      <x:c r="E26" s="8" t="str">
        <x:v>Enterprise</x:v>
      </x:c>
      <x:c r="F26" s="8" t="str">
        <x:v>Custom</x:v>
      </x:c>
    </x:row>
    <x:row r="27" ht="23" customHeight="1">
      <x:c r="A27" s="2" t="str">
        <x:v>No LLM, agrupados (hipótesis)</x:v>
      </x:c>
      <x:c r="B27" s="13" t="n">
        <x:v>4</x:v>
      </x:c>
      <x:c r="C27" s="13" t="n">
        <x:v>8</x:v>
      </x:c>
      <x:c r="D27" s="13" t="n">
        <x:v>20</x:v>
      </x:c>
      <x:c r="E27" s="13" t="n">
        <x:v>50</x:v>
      </x:c>
      <x:c r="F27" s="13"/>
    </x:row>
    <x:row r="28" ht="23" customHeight="1">
      <x:c r="A28" s="2" t="str">
        <x:v>Incluye soporte, infra, media, RAG, fiscal y reservas. Reemplazar con medición.</x:v>
      </x:c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5" customHeight="1">
      <x:c r="A30" s="7" t="str">
        <x:v>Cotización Custom pendiente</x:v>
      </x:c>
      <x:c r="B30" s="7"/>
      <x:c r="C30" s="7"/>
      <x:c r="D30" s="7"/>
      <x:c r="E30" s="7"/>
      <x:c r="F30" s="7"/>
    </x:row>
    <x:row r="31" ht="23" customHeight="1">
      <x:c r="A31" s="2" t="str">
        <x:v>Precio COP mensual</x:v>
      </x:c>
      <x:c r="B31" s="13"/>
      <x:c r="C31" s="2"/>
      <x:c r="D31" s="2"/>
      <x:c r="E31" s="2"/>
      <x:c r="F31" s="2"/>
    </x:row>
    <x:row r="32" ht="23" customHeight="1">
      <x:c r="A32" s="2" t="str">
        <x:v>Precio COP anual total</x:v>
      </x:c>
      <x:c r="B32" s="13"/>
      <x:c r="C32" s="2"/>
      <x:c r="D32" s="2"/>
      <x:c r="E32" s="2"/>
      <x:c r="F32" s="2"/>
    </x:row>
    <x:row r="33" ht="23" customHeight="1">
      <x:c r="A33" s="2" t="str">
        <x:v>Referencia USD mensual</x:v>
      </x:c>
      <x:c r="B33" s="13"/>
      <x:c r="C33" s="2"/>
      <x:c r="D33" s="2"/>
      <x:c r="E33" s="2"/>
      <x:c r="F33" s="2"/>
    </x:row>
    <x:row r="34" ht="23" customHeight="1">
      <x:c r="A34" s="2" t="str">
        <x:v>Cuota IA mensual</x:v>
      </x:c>
      <x:c r="B34" s="13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 t="str">
        <x:v>Azul sobre amarillo = editable. Custom requiere precio, cuota y costo restante.</x:v>
      </x:c>
      <x:c r="B36" s="2"/>
      <x:c r="C36" s="2"/>
      <x:c r="D36" s="2"/>
      <x:c r="E36" s="2"/>
      <x:c r="F36" s="2"/>
    </x:row>
    <x:row r="37" ht="23" customHeight="1">
      <x:c r="A37" s="2" t="str">
        <x:v>Tarifas excluyen impuestos, FX bancario y descuentos de volumen. No hay FEP supuesto.</x:v>
      </x:c>
      <x:c r="B37" s="2"/>
      <x:c r="C37" s="2"/>
      <x:c r="D37" s="2"/>
      <x:c r="E37" s="2"/>
      <x:c r="F37" s="2"/>
    </x:row>
    <x:row r="38" ht="23" customHeight="1">
      <x:c r="A38" s="2" t="str">
        <x:v>Fuente beneficio: developers.facebook.com/documentation/business-messaging/whatsapp/pricing</x:v>
      </x:c>
      <x:c r="B38" s="2"/>
      <x:c r="C38" s="2"/>
      <x:c r="D38" s="2"/>
      <x:c r="E38" s="2"/>
      <x:c r="F38" s="2"/>
    </x:row>
    <x:row r="39" ht="23" customHeight="1">
      <x:c r="A39" s="2" t="str">
        <x:v>Usage IA: categorías disjuntas; no sumar reasoning otra vez si ya está incluido en output.</x:v>
      </x:c>
      <x:c r="B39" s="2"/>
      <x:c r="C39" s="2"/>
      <x:c r="D39" s="2"/>
      <x:c r="E39" s="2"/>
      <x:c r="F39" s="2"/>
    </x:row>
    <x:row r="40" ht="23" customHeight="1">
      <x:c r="A40" s="27" t="str">
        <x:v>Tarifas activas en moneda WABA</x:v>
      </x:c>
      <x:c r="B40" s="27"/>
      <x:c r="C40" s="27"/>
      <x:c r="D40" s="27"/>
      <x:c r="E40" s="27"/>
      <x:c r="F40" s="27"/>
    </x:row>
    <x:row r="41" ht="23" customHeight="1">
      <x:c r="A41" s="28" t="str">
        <x:v>Servicio</x:v>
      </x:c>
      <x:c r="B41" s="29" t="n">
        <x:f>IF(COUNTIFS('Tarifas Meta'!$B$6:$B$99,$B$7,'Tarifas Meta'!$C$6:$C$99,$B$8)&lt;&gt;1,"Falta tarifa",SUMIFS('Tarifas Meta'!$D$6:$D$99,'Tarifas Meta'!$B$6:$B$99,$B$7,'Tarifas Meta'!$C$6:$C$99,$B$8))</x:f>
        <x:v>2.9455</x:v>
      </x:c>
      <x:c r="C41" s="28"/>
      <x:c r="D41" s="28"/>
      <x:c r="E41" s="28"/>
      <x:c r="F41" s="28"/>
    </x:row>
    <x:row r="42" ht="23" customHeight="1">
      <x:c r="A42" s="28" t="str">
        <x:v>Utility</x:v>
      </x:c>
      <x:c r="B42" s="29" t="n">
        <x:f>IF(COUNTIFS('Tarifas Meta'!$B$6:$B$99,$B$7,'Tarifas Meta'!$C$6:$C$99,$B$8)&lt;&gt;1,"Falta tarifa",SUMIFS('Tarifas Meta'!$E$6:$E$99,'Tarifas Meta'!$B$6:$B$99,$B$7,'Tarifas Meta'!$C$6:$C$99,$B$8))</x:f>
        <x:v>2.9455</x:v>
      </x:c>
      <x:c r="C42" s="28"/>
      <x:c r="D42" s="28"/>
      <x:c r="E42" s="28"/>
      <x:c r="F42" s="28"/>
    </x:row>
    <x:row r="43" ht="23" customHeight="1">
      <x:c r="A43" s="28" t="str">
        <x:v>Marketing</x:v>
      </x:c>
      <x:c r="B43" s="29" t="n">
        <x:f>IF(COUNTIFS('Tarifas Meta'!$B$6:$B$99,$B$7,'Tarifas Meta'!$C$6:$C$99,$B$8)&lt;&gt;1,"Falta tarifa",SUMIFS('Tarifas Meta'!$F$6:$F$99,'Tarifas Meta'!$B$6:$B$99,$B$7,'Tarifas Meta'!$C$6:$C$99,$B$8))</x:f>
        <x:v>46.0227</x:v>
      </x:c>
      <x:c r="C43" s="28"/>
      <x:c r="D43" s="28"/>
      <x:c r="E43" s="28"/>
      <x:c r="F43" s="28"/>
    </x:row>
    <x:row r="44" ht="23" customHeight="1">
      <x:c r="A44" s="28" t="str">
        <x:v>Authentication</x:v>
      </x:c>
      <x:c r="B44" s="29" t="n">
        <x:f>IF(COUNTIFS('Tarifas Meta'!$B$6:$B$99,$B$7,'Tarifas Meta'!$C$6:$C$99,$B$8)&lt;&gt;1,"Falta tarifa",SUMIFS('Tarifas Meta'!$G$6:$G$99,'Tarifas Meta'!$B$6:$B$99,$B$7,'Tarifas Meta'!$C$6:$C$99,$B$8))</x:f>
        <x:v>2.9455</x:v>
      </x:c>
      <x:c r="C44" s="28"/>
      <x:c r="D44" s="28"/>
      <x:c r="E44" s="28"/>
      <x:c r="F44" s="28"/>
    </x:row>
    <x:row r="45" ht="23" customHeight="1">
      <x:c r="A45" s="28"/>
      <x:c r="B45" s="28"/>
      <x:c r="C45" s="28"/>
      <x:c r="D45" s="28"/>
      <x:c r="E45" s="28"/>
      <x:c r="F45" s="28"/>
    </x:row>
  </x:sheetData>
  <x:dataValidations count="10">
    <x:dataValidation type="list" sqref="B5">
      <x:formula1>"COP,USD"</x:formula1>
    </x:dataValidation>
    <x:dataValidation type="list" sqref="B6">
      <x:formula1>"Mensual,Anual"</x:formula1>
    </x:dataValidation>
    <x:dataValidation type="list" sqref="B8">
      <x:formula1>"COP,USD"</x:formula1>
    </x:dataValidation>
    <x:dataValidation type="list" sqref="B7">
      <x:formula1>"Argentina,Bangladesh,Brazil,Chile,Colombia,Egypt,France,Germany,Hong Kong,Hungary,India,Indonesia,Iraq,Israel,Italy,Kazakhstan,Kuwait,Malaysia,Mexico,Morocco,Netherlands,Nepal,Nigeria,Oman,Pakistan,Peru,Poland,Qatar,Romania,Russia,Saudi Arabia,Singapore,South Africa,Spain,Sri Lanka,Turkey,Ukraine,United Arab Emirates,United Kingdom,North America,Rest of Africa,Rest of Asia Pacific,Rest of Central &amp; Eastern Europe,Rest of Latin America,Rest of Middle East,Rest of Western Europe,Other"</x:formula1>
    </x:dataValidation>
    <x:dataValidation type="list" sqref="B16">
      <x:formula1>"0,1"</x:formula1>
    </x:dataValidation>
    <x:dataValidation type="whole" operator="equal" sqref="B17">
      <x:formula1>1</x:formula1>
    </x:dataValidation>
    <x:dataValidation type="decimal" operator="between" sqref="B10">
      <x:formula1>0</x:formula1>
      <x:formula2>1</x:formula2>
    </x:dataValidation>
    <x:dataValidation type="decimal" operator="between" sqref="B11">
      <x:formula1>0</x:formula1>
      <x:formula2>1</x:formula2>
    </x:dataValidation>
    <x:dataValidation type="decimal" operator="between" sqref="B13">
      <x:formula1>0</x:formula1>
      <x:formula2>0.99</x:formula2>
    </x:dataValidation>
    <x:dataValidation type="decimal" operator="between" sqref="B14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Tarifas Meta desde octubre de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47 mercados, dos monedas oficiales. n.a. indica tarifa no disponible.</x:v>
      </x:c>
      <x:c r="B3" s="4"/>
      <x:c r="C3" s="4"/>
      <x:c r="D3" s="4"/>
      <x:c r="E3" s="4"/>
      <x:c r="F3" s="4"/>
      <x:c r="G3" s="4"/>
      <x:c r="H3" s="4"/>
      <x:c r="I3" s="4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8" t="str">
        <x:v>Clave mercado-moneda</x:v>
      </x:c>
      <x:c r="B5" s="8" t="str">
        <x:v>Mercado</x:v>
      </x:c>
      <x:c r="C5" s="8" t="str">
        <x:v>Moneda</x:v>
      </x:c>
      <x:c r="D5" s="8" t="str">
        <x:v>Service</x:v>
      </x:c>
      <x:c r="E5" s="8" t="str">
        <x:v>Utility</x:v>
      </x:c>
      <x:c r="F5" s="8" t="str">
        <x:v>Marketing</x:v>
      </x:c>
      <x:c r="G5" s="8" t="str">
        <x:v>Authentication</x:v>
      </x:c>
      <x:c r="H5" s="8" t="str">
        <x:v>Auth. internacional</x:v>
      </x:c>
      <x:c r="I5" s="8" t="str">
        <x:v>Fuente</x:v>
      </x:c>
      <x:c r="J5" s="2"/>
    </x:row>
    <x:row r="6" ht="23" customHeight="1">
      <x:c r="A6" s="2" t="str">
        <x:v>Argentina|USD</x:v>
      </x:c>
      <x:c r="B6" s="2" t="str">
        <x:v>Argentina</x:v>
      </x:c>
      <x:c r="C6" s="2" t="str">
        <x:v>USD</x:v>
      </x:c>
      <x:c r="D6" s="21" t="n">
        <x:v>0.026</x:v>
      </x:c>
      <x:c r="E6" s="21" t="n">
        <x:v>0.026</x:v>
      </x:c>
      <x:c r="F6" s="21" t="n">
        <x:v>0.0618</x:v>
      </x:c>
      <x:c r="G6" s="21" t="n">
        <x:v>0.026</x:v>
      </x:c>
      <x:c r="H6" s="21" t="str">
        <x:v>n.a.</x:v>
      </x:c>
      <x:c r="I6" s="2" t="str">
        <x:v>USD OCT26</x:v>
      </x:c>
      <x:c r="J6" s="2"/>
    </x:row>
    <x:row r="7" ht="23" customHeight="1">
      <x:c r="A7" s="2" t="str">
        <x:v>Bangladesh|USD</x:v>
      </x:c>
      <x:c r="B7" s="2" t="str">
        <x:v>Bangladesh</x:v>
      </x:c>
      <x:c r="C7" s="2" t="str">
        <x:v>USD</x:v>
      </x:c>
      <x:c r="D7" s="21" t="n">
        <x:v>0.0037</x:v>
      </x:c>
      <x:c r="E7" s="21" t="n">
        <x:v>0.0037</x:v>
      </x:c>
      <x:c r="F7" s="21" t="n">
        <x:v>0.0732</x:v>
      </x:c>
      <x:c r="G7" s="21" t="n">
        <x:v>0.0037</x:v>
      </x:c>
      <x:c r="H7" s="21" t="n">
        <x:v>0.096</x:v>
      </x:c>
      <x:c r="I7" s="2" t="str">
        <x:v>USD OCT26</x:v>
      </x:c>
      <x:c r="J7" s="2"/>
    </x:row>
    <x:row r="8" ht="23" customHeight="1">
      <x:c r="A8" s="2" t="str">
        <x:v>Brazil|USD</x:v>
      </x:c>
      <x:c r="B8" s="2" t="str">
        <x:v>Brazil</x:v>
      </x:c>
      <x:c r="C8" s="2" t="str">
        <x:v>USD</x:v>
      </x:c>
      <x:c r="D8" s="21" t="n">
        <x:v>0.0068</x:v>
      </x:c>
      <x:c r="E8" s="21" t="n">
        <x:v>0.0068</x:v>
      </x:c>
      <x:c r="F8" s="21" t="n">
        <x:v>0.0625</x:v>
      </x:c>
      <x:c r="G8" s="21" t="n">
        <x:v>0.0068</x:v>
      </x:c>
      <x:c r="H8" s="21" t="str">
        <x:v>n.a.</x:v>
      </x:c>
      <x:c r="I8" s="2" t="str">
        <x:v>USD OCT26</x:v>
      </x:c>
      <x:c r="J8" s="2"/>
    </x:row>
    <x:row r="9" ht="23" customHeight="1">
      <x:c r="A9" s="2" t="str">
        <x:v>Chile|USD</x:v>
      </x:c>
      <x:c r="B9" s="2" t="str">
        <x:v>Chile</x:v>
      </x:c>
      <x:c r="C9" s="2" t="str">
        <x:v>USD</x:v>
      </x:c>
      <x:c r="D9" s="21" t="n">
        <x:v>0.02</x:v>
      </x:c>
      <x:c r="E9" s="21" t="n">
        <x:v>0.02</x:v>
      </x:c>
      <x:c r="F9" s="21" t="n">
        <x:v>0.0889</x:v>
      </x:c>
      <x:c r="G9" s="21" t="n">
        <x:v>0.02</x:v>
      </x:c>
      <x:c r="H9" s="21" t="str">
        <x:v>n.a.</x:v>
      </x:c>
      <x:c r="I9" s="2" t="str">
        <x:v>USD OCT26</x:v>
      </x:c>
      <x:c r="J9" s="2"/>
    </x:row>
    <x:row r="10" ht="23" customHeight="1">
      <x:c r="A10" s="2" t="str">
        <x:v>Colombia|USD</x:v>
      </x:c>
      <x:c r="B10" s="2" t="str">
        <x:v>Colombia</x:v>
      </x:c>
      <x:c r="C10" s="2" t="str">
        <x:v>USD</x:v>
      </x:c>
      <x:c r="D10" s="21" t="n">
        <x:v>0.0008</x:v>
      </x:c>
      <x:c r="E10" s="21" t="n">
        <x:v>0.0008</x:v>
      </x:c>
      <x:c r="F10" s="21" t="n">
        <x:v>0.0125</x:v>
      </x:c>
      <x:c r="G10" s="21" t="n">
        <x:v>0.0008</x:v>
      </x:c>
      <x:c r="H10" s="21" t="str">
        <x:v>n.a.</x:v>
      </x:c>
      <x:c r="I10" s="2" t="str">
        <x:v>USD OCT26</x:v>
      </x:c>
      <x:c r="J10" s="2"/>
    </x:row>
    <x:row r="11" ht="23" customHeight="1">
      <x:c r="A11" s="2" t="str">
        <x:v>Egypt|USD</x:v>
      </x:c>
      <x:c r="B11" s="2" t="str">
        <x:v>Egypt</x:v>
      </x:c>
      <x:c r="C11" s="2" t="str">
        <x:v>USD</x:v>
      </x:c>
      <x:c r="D11" s="21" t="n">
        <x:v>0.0036</x:v>
      </x:c>
      <x:c r="E11" s="21" t="n">
        <x:v>0.0036</x:v>
      </x:c>
      <x:c r="F11" s="21" t="n">
        <x:v>0.0644</x:v>
      </x:c>
      <x:c r="G11" s="21" t="n">
        <x:v>0.0036</x:v>
      </x:c>
      <x:c r="H11" s="21" t="n">
        <x:v>0.065</x:v>
      </x:c>
      <x:c r="I11" s="2" t="str">
        <x:v>USD OCT26</x:v>
      </x:c>
      <x:c r="J11" s="2"/>
    </x:row>
    <x:row r="12" ht="23" customHeight="1">
      <x:c r="A12" s="2" t="str">
        <x:v>France|USD</x:v>
      </x:c>
      <x:c r="B12" s="2" t="str">
        <x:v>France</x:v>
      </x:c>
      <x:c r="C12" s="2" t="str">
        <x:v>USD</x:v>
      </x:c>
      <x:c r="D12" s="21" t="n">
        <x:v>0.03</x:v>
      </x:c>
      <x:c r="E12" s="21" t="n">
        <x:v>0.03</x:v>
      </x:c>
      <x:c r="F12" s="21" t="n">
        <x:v>0.0859</x:v>
      </x:c>
      <x:c r="G12" s="21" t="n">
        <x:v>0.03</x:v>
      </x:c>
      <x:c r="H12" s="21" t="str">
        <x:v>n.a.</x:v>
      </x:c>
      <x:c r="I12" s="2" t="str">
        <x:v>USD OCT26</x:v>
      </x:c>
      <x:c r="J12" s="2"/>
    </x:row>
    <x:row r="13" ht="23" customHeight="1">
      <x:c r="A13" s="2" t="str">
        <x:v>Germany|USD</x:v>
      </x:c>
      <x:c r="B13" s="2" t="str">
        <x:v>Germany</x:v>
      </x:c>
      <x:c r="C13" s="2" t="str">
        <x:v>USD</x:v>
      </x:c>
      <x:c r="D13" s="21" t="n">
        <x:v>0.055</x:v>
      </x:c>
      <x:c r="E13" s="21" t="n">
        <x:v>0.055</x:v>
      </x:c>
      <x:c r="F13" s="21" t="n">
        <x:v>0.1365</x:v>
      </x:c>
      <x:c r="G13" s="21" t="n">
        <x:v>0.055</x:v>
      </x:c>
      <x:c r="H13" s="21" t="str">
        <x:v>n.a.</x:v>
      </x:c>
      <x:c r="I13" s="2" t="str">
        <x:v>USD OCT26</x:v>
      </x:c>
      <x:c r="J13" s="2"/>
    </x:row>
    <x:row r="14" ht="23" customHeight="1">
      <x:c r="A14" s="2" t="str">
        <x:v>Hong Kong|USD</x:v>
      </x:c>
      <x:c r="B14" s="2" t="str">
        <x:v>Hong Kong</x:v>
      </x:c>
      <x:c r="C14" s="2" t="str">
        <x:v>USD</x:v>
      </x:c>
      <x:c r="D14" s="21" t="n">
        <x:v>0.026</x:v>
      </x:c>
      <x:c r="E14" s="21" t="n">
        <x:v>0.026</x:v>
      </x:c>
      <x:c r="F14" s="21" t="n">
        <x:v>0.0732</x:v>
      </x:c>
      <x:c r="G14" s="21" t="n">
        <x:v>0.026</x:v>
      </x:c>
      <x:c r="H14" s="21" t="str">
        <x:v>n.a.</x:v>
      </x:c>
      <x:c r="I14" s="2" t="str">
        <x:v>USD OCT26</x:v>
      </x:c>
      <x:c r="J14" s="2"/>
    </x:row>
    <x:row r="15" ht="23" customHeight="1">
      <x:c r="A15" s="2" t="str">
        <x:v>Hungary|USD</x:v>
      </x:c>
      <x:c r="B15" s="2" t="str">
        <x:v>Hungary</x:v>
      </x:c>
      <x:c r="C15" s="2" t="str">
        <x:v>USD</x:v>
      </x:c>
      <x:c r="D15" s="21" t="n">
        <x:v>0.035</x:v>
      </x:c>
      <x:c r="E15" s="21" t="n">
        <x:v>0.035</x:v>
      </x:c>
      <x:c r="F15" s="21" t="n">
        <x:v>0.086</x:v>
      </x:c>
      <x:c r="G15" s="21" t="n">
        <x:v>0.035</x:v>
      </x:c>
      <x:c r="H15" s="21" t="str">
        <x:v>n.a.</x:v>
      </x:c>
      <x:c r="I15" s="2" t="str">
        <x:v>USD OCT26</x:v>
      </x:c>
      <x:c r="J15" s="2"/>
    </x:row>
    <x:row r="16" ht="23" customHeight="1">
      <x:c r="A16" s="2" t="str">
        <x:v>India|USD</x:v>
      </x:c>
      <x:c r="B16" s="2" t="str">
        <x:v>India</x:v>
      </x:c>
      <x:c r="C16" s="2" t="str">
        <x:v>USD</x:v>
      </x:c>
      <x:c r="D16" s="21" t="n">
        <x:v>0.0014</x:v>
      </x:c>
      <x:c r="E16" s="21" t="n">
        <x:v>0.0014</x:v>
      </x:c>
      <x:c r="F16" s="21" t="n">
        <x:v>0.0118</x:v>
      </x:c>
      <x:c r="G16" s="21" t="n">
        <x:v>0.0014</x:v>
      </x:c>
      <x:c r="H16" s="21" t="n">
        <x:v>0.0304</x:v>
      </x:c>
      <x:c r="I16" s="2" t="str">
        <x:v>USD OCT26</x:v>
      </x:c>
      <x:c r="J16" s="2"/>
    </x:row>
    <x:row r="17" ht="23" customHeight="1">
      <x:c r="A17" s="2" t="str">
        <x:v>Indonesia|USD</x:v>
      </x:c>
      <x:c r="B17" s="2" t="str">
        <x:v>Indonesia</x:v>
      </x:c>
      <x:c r="C17" s="2" t="str">
        <x:v>USD</x:v>
      </x:c>
      <x:c r="D17" s="21" t="n">
        <x:v>0.025</x:v>
      </x:c>
      <x:c r="E17" s="21" t="n">
        <x:v>0.025</x:v>
      </x:c>
      <x:c r="F17" s="21" t="n">
        <x:v>0.0411</x:v>
      </x:c>
      <x:c r="G17" s="21" t="n">
        <x:v>0.025</x:v>
      </x:c>
      <x:c r="H17" s="21" t="n">
        <x:v>0.136</x:v>
      </x:c>
      <x:c r="I17" s="2" t="str">
        <x:v>USD OCT26</x:v>
      </x:c>
      <x:c r="J17" s="2"/>
    </x:row>
    <x:row r="18" ht="23" customHeight="1">
      <x:c r="A18" s="2" t="str">
        <x:v>Iraq|USD</x:v>
      </x:c>
      <x:c r="B18" s="2" t="str">
        <x:v>Iraq</x:v>
      </x:c>
      <x:c r="C18" s="2" t="str">
        <x:v>USD</x:v>
      </x:c>
      <x:c r="D18" s="21" t="n">
        <x:v>0.0079</x:v>
      </x:c>
      <x:c r="E18" s="21" t="n">
        <x:v>0.0079</x:v>
      </x:c>
      <x:c r="F18" s="21" t="n">
        <x:v>0.0341</x:v>
      </x:c>
      <x:c r="G18" s="21" t="n">
        <x:v>0.0079</x:v>
      </x:c>
      <x:c r="H18" s="21" t="n">
        <x:v>0.128</x:v>
      </x:c>
      <x:c r="I18" s="2" t="str">
        <x:v>USD OCT26</x:v>
      </x:c>
      <x:c r="J18" s="2"/>
    </x:row>
    <x:row r="19" ht="23" customHeight="1">
      <x:c r="A19" s="2" t="str">
        <x:v>Israel|USD</x:v>
      </x:c>
      <x:c r="B19" s="2" t="str">
        <x:v>Israel</x:v>
      </x:c>
      <x:c r="C19" s="2" t="str">
        <x:v>USD</x:v>
      </x:c>
      <x:c r="D19" s="21" t="n">
        <x:v>0.0053</x:v>
      </x:c>
      <x:c r="E19" s="21" t="n">
        <x:v>0.0053</x:v>
      </x:c>
      <x:c r="F19" s="21" t="n">
        <x:v>0.0353</x:v>
      </x:c>
      <x:c r="G19" s="21" t="n">
        <x:v>0.0053</x:v>
      </x:c>
      <x:c r="H19" s="21" t="str">
        <x:v>n.a.</x:v>
      </x:c>
      <x:c r="I19" s="2" t="str">
        <x:v>USD OCT26</x:v>
      </x:c>
      <x:c r="J19" s="2"/>
    </x:row>
    <x:row r="20" ht="23" customHeight="1">
      <x:c r="A20" s="2" t="str">
        <x:v>Italy|USD</x:v>
      </x:c>
      <x:c r="B20" s="2" t="str">
        <x:v>Italy</x:v>
      </x:c>
      <x:c r="C20" s="2" t="str">
        <x:v>USD</x:v>
      </x:c>
      <x:c r="D20" s="21" t="n">
        <x:v>0.03</x:v>
      </x:c>
      <x:c r="E20" s="21" t="n">
        <x:v>0.03</x:v>
      </x:c>
      <x:c r="F20" s="21" t="n">
        <x:v>0.0795</x:v>
      </x:c>
      <x:c r="G20" s="21" t="n">
        <x:v>0.03</x:v>
      </x:c>
      <x:c r="H20" s="21" t="str">
        <x:v>n.a.</x:v>
      </x:c>
      <x:c r="I20" s="2" t="str">
        <x:v>USD OCT26</x:v>
      </x:c>
      <x:c r="J20" s="2"/>
    </x:row>
    <x:row r="21" ht="23" customHeight="1">
      <x:c r="A21" s="2" t="str">
        <x:v>Kazakhstan|USD</x:v>
      </x:c>
      <x:c r="B21" s="2" t="str">
        <x:v>Kazakhstan</x:v>
      </x:c>
      <x:c r="C21" s="2" t="str">
        <x:v>USD</x:v>
      </x:c>
      <x:c r="D21" s="21" t="n">
        <x:v>0.018</x:v>
      </x:c>
      <x:c r="E21" s="21" t="n">
        <x:v>0.018</x:v>
      </x:c>
      <x:c r="F21" s="21" t="n">
        <x:v>0.0604</x:v>
      </x:c>
      <x:c r="G21" s="21" t="n">
        <x:v>0.018</x:v>
      </x:c>
      <x:c r="H21" s="21" t="n">
        <x:v>0.16</x:v>
      </x:c>
      <x:c r="I21" s="2" t="str">
        <x:v>USD OCT26</x:v>
      </x:c>
      <x:c r="J21" s="2"/>
    </x:row>
    <x:row r="22" ht="23" customHeight="1">
      <x:c r="A22" s="2" t="str">
        <x:v>Kuwait|USD</x:v>
      </x:c>
      <x:c r="B22" s="2" t="str">
        <x:v>Kuwait</x:v>
      </x:c>
      <x:c r="C22" s="2" t="str">
        <x:v>USD</x:v>
      </x:c>
      <x:c r="D22" s="21" t="n">
        <x:v>0.044</x:v>
      </x:c>
      <x:c r="E22" s="21" t="n">
        <x:v>0.044</x:v>
      </x:c>
      <x:c r="F22" s="21" t="n">
        <x:v>0.0792</x:v>
      </x:c>
      <x:c r="G22" s="21" t="n">
        <x:v>0.044</x:v>
      </x:c>
      <x:c r="H22" s="21" t="n">
        <x:v>0.12</x:v>
      </x:c>
      <x:c r="I22" s="2" t="str">
        <x:v>USD OCT26</x:v>
      </x:c>
      <x:c r="J22" s="2"/>
    </x:row>
    <x:row r="23" ht="23" customHeight="1">
      <x:c r="A23" s="2" t="str">
        <x:v>Malaysia|USD</x:v>
      </x:c>
      <x:c r="B23" s="2" t="str">
        <x:v>Malaysia</x:v>
      </x:c>
      <x:c r="C23" s="2" t="str">
        <x:v>USD</x:v>
      </x:c>
      <x:c r="D23" s="21" t="n">
        <x:v>0.014</x:v>
      </x:c>
      <x:c r="E23" s="21" t="n">
        <x:v>0.014</x:v>
      </x:c>
      <x:c r="F23" s="21" t="n">
        <x:v>0.086</x:v>
      </x:c>
      <x:c r="G23" s="21" t="n">
        <x:v>0.014</x:v>
      </x:c>
      <x:c r="H23" s="21" t="n">
        <x:v>0.0418</x:v>
      </x:c>
      <x:c r="I23" s="2" t="str">
        <x:v>USD OCT26</x:v>
      </x:c>
      <x:c r="J23" s="2"/>
    </x:row>
    <x:row r="24" ht="23" customHeight="1">
      <x:c r="A24" s="2" t="str">
        <x:v>Mexico|USD</x:v>
      </x:c>
      <x:c r="B24" s="2" t="str">
        <x:v>Mexico</x:v>
      </x:c>
      <x:c r="C24" s="2" t="str">
        <x:v>USD</x:v>
      </x:c>
      <x:c r="D24" s="21" t="n">
        <x:v>0.0085</x:v>
      </x:c>
      <x:c r="E24" s="21" t="n">
        <x:v>0.0085</x:v>
      </x:c>
      <x:c r="F24" s="21" t="n">
        <x:v>0.0397</x:v>
      </x:c>
      <x:c r="G24" s="21" t="n">
        <x:v>0.0085</x:v>
      </x:c>
      <x:c r="H24" s="21" t="str">
        <x:v>n.a.</x:v>
      </x:c>
      <x:c r="I24" s="2" t="str">
        <x:v>USD OCT26</x:v>
      </x:c>
      <x:c r="J24" s="2"/>
    </x:row>
    <x:row r="25" ht="23" customHeight="1">
      <x:c r="A25" s="2" t="str">
        <x:v>Morocco|USD</x:v>
      </x:c>
      <x:c r="B25" s="2" t="str">
        <x:v>Morocco</x:v>
      </x:c>
      <x:c r="C25" s="2" t="str">
        <x:v>USD</x:v>
      </x:c>
      <x:c r="D25" s="21" t="n">
        <x:v>0.023</x:v>
      </x:c>
      <x:c r="E25" s="21" t="n">
        <x:v>0.023</x:v>
      </x:c>
      <x:c r="F25" s="21" t="n">
        <x:v>0.0414</x:v>
      </x:c>
      <x:c r="G25" s="21" t="n">
        <x:v>0.023</x:v>
      </x:c>
      <x:c r="H25" s="21" t="n">
        <x:v>0.0811</x:v>
      </x:c>
      <x:c r="I25" s="2" t="str">
        <x:v>USD OCT26</x:v>
      </x:c>
      <x:c r="J25" s="2"/>
    </x:row>
    <x:row r="26" ht="23" customHeight="1">
      <x:c r="A26" s="2" t="str">
        <x:v>Netherlands|USD</x:v>
      </x:c>
      <x:c r="B26" s="2" t="str">
        <x:v>Netherlands</x:v>
      </x:c>
      <x:c r="C26" s="2" t="str">
        <x:v>USD</x:v>
      </x:c>
      <x:c r="D26" s="21" t="n">
        <x:v>0.05</x:v>
      </x:c>
      <x:c r="E26" s="21" t="n">
        <x:v>0.05</x:v>
      </x:c>
      <x:c r="F26" s="21" t="n">
        <x:v>0.1597</x:v>
      </x:c>
      <x:c r="G26" s="21" t="n">
        <x:v>0.05</x:v>
      </x:c>
      <x:c r="H26" s="21" t="str">
        <x:v>n.a.</x:v>
      </x:c>
      <x:c r="I26" s="2" t="str">
        <x:v>USD OCT26</x:v>
      </x:c>
      <x:c r="J26" s="2"/>
    </x:row>
    <x:row r="27" ht="23" customHeight="1">
      <x:c r="A27" s="2" t="str">
        <x:v>Nepal|USD</x:v>
      </x:c>
      <x:c r="B27" s="2" t="str">
        <x:v>Nepal</x:v>
      </x:c>
      <x:c r="C27" s="2" t="str">
        <x:v>USD</x:v>
      </x:c>
      <x:c r="D27" s="21" t="n">
        <x:v>0.0034</x:v>
      </x:c>
      <x:c r="E27" s="21" t="n">
        <x:v>0.0034</x:v>
      </x:c>
      <x:c r="F27" s="21" t="n">
        <x:v>0.0732</x:v>
      </x:c>
      <x:c r="G27" s="21" t="n">
        <x:v>0.0034</x:v>
      </x:c>
      <x:c r="H27" s="21" t="n">
        <x:v>0.112</x:v>
      </x:c>
      <x:c r="I27" s="2" t="str">
        <x:v>USD OCT26</x:v>
      </x:c>
      <x:c r="J27" s="2"/>
    </x:row>
    <x:row r="28" ht="23" customHeight="1">
      <x:c r="A28" s="2" t="str">
        <x:v>Nigeria|USD</x:v>
      </x:c>
      <x:c r="B28" s="2" t="str">
        <x:v>Nigeria</x:v>
      </x:c>
      <x:c r="C28" s="2" t="str">
        <x:v>USD</x:v>
      </x:c>
      <x:c r="D28" s="21" t="n">
        <x:v>0.0067</x:v>
      </x:c>
      <x:c r="E28" s="21" t="n">
        <x:v>0.0067</x:v>
      </x:c>
      <x:c r="F28" s="21" t="n">
        <x:v>0.0516</x:v>
      </x:c>
      <x:c r="G28" s="21" t="n">
        <x:v>0.0067</x:v>
      </x:c>
      <x:c r="H28" s="21" t="n">
        <x:v>0.075</x:v>
      </x:c>
      <x:c r="I28" s="2" t="str">
        <x:v>USD OCT26</x:v>
      </x:c>
      <x:c r="J28" s="2"/>
    </x:row>
    <x:row r="29" ht="23" customHeight="1">
      <x:c r="A29" s="2" t="str">
        <x:v>Oman|USD</x:v>
      </x:c>
      <x:c r="B29" s="2" t="str">
        <x:v>Oman</x:v>
      </x:c>
      <x:c r="C29" s="2" t="str">
        <x:v>USD</x:v>
      </x:c>
      <x:c r="D29" s="21" t="n">
        <x:v>0.0247</x:v>
      </x:c>
      <x:c r="E29" s="21" t="n">
        <x:v>0.0247</x:v>
      </x:c>
      <x:c r="F29" s="21" t="n">
        <x:v>0.0341</x:v>
      </x:c>
      <x:c r="G29" s="21" t="n">
        <x:v>0.0247</x:v>
      </x:c>
      <x:c r="H29" s="21" t="n">
        <x:v>0.06</x:v>
      </x:c>
      <x:c r="I29" s="2" t="str">
        <x:v>USD OCT26</x:v>
      </x:c>
      <x:c r="J29" s="2"/>
    </x:row>
    <x:row r="30" ht="23" customHeight="1">
      <x:c r="A30" s="2" t="str">
        <x:v>Pakistan|USD</x:v>
      </x:c>
      <x:c r="B30" s="2" t="str">
        <x:v>Pakistan</x:v>
      </x:c>
      <x:c r="C30" s="2" t="str">
        <x:v>USD</x:v>
      </x:c>
      <x:c r="D30" s="21" t="n">
        <x:v>0.015</x:v>
      </x:c>
      <x:c r="E30" s="21" t="n">
        <x:v>0.015</x:v>
      </x:c>
      <x:c r="F30" s="21" t="n">
        <x:v>0.0473</x:v>
      </x:c>
      <x:c r="G30" s="21" t="n">
        <x:v>0.015</x:v>
      </x:c>
      <x:c r="H30" s="21" t="n">
        <x:v>0.075</x:v>
      </x:c>
      <x:c r="I30" s="2" t="str">
        <x:v>USD OCT26</x:v>
      </x:c>
      <x:c r="J30" s="2"/>
    </x:row>
    <x:row r="31" ht="23" customHeight="1">
      <x:c r="A31" s="2" t="str">
        <x:v>Peru|USD</x:v>
      </x:c>
      <x:c r="B31" s="2" t="str">
        <x:v>Peru</x:v>
      </x:c>
      <x:c r="C31" s="2" t="str">
        <x:v>USD</x:v>
      </x:c>
      <x:c r="D31" s="21" t="n">
        <x:v>0.03</x:v>
      </x:c>
      <x:c r="E31" s="21" t="n">
        <x:v>0.03</x:v>
      </x:c>
      <x:c r="F31" s="21" t="n">
        <x:v>0.0703</x:v>
      </x:c>
      <x:c r="G31" s="21" t="n">
        <x:v>0.03</x:v>
      </x:c>
      <x:c r="H31" s="21" t="str">
        <x:v>n.a.</x:v>
      </x:c>
      <x:c r="I31" s="2" t="str">
        <x:v>USD OCT26</x:v>
      </x:c>
      <x:c r="J31" s="2"/>
    </x:row>
    <x:row r="32" ht="23" customHeight="1">
      <x:c r="A32" s="2" t="str">
        <x:v>Poland|USD</x:v>
      </x:c>
      <x:c r="B32" s="2" t="str">
        <x:v>Poland</x:v>
      </x:c>
      <x:c r="C32" s="2" t="str">
        <x:v>USD</x:v>
      </x:c>
      <x:c r="D32" s="21" t="n">
        <x:v>0.0122</x:v>
      </x:c>
      <x:c r="E32" s="21" t="n">
        <x:v>0.0122</x:v>
      </x:c>
      <x:c r="F32" s="21" t="n">
        <x:v>0.0366</x:v>
      </x:c>
      <x:c r="G32" s="21" t="n">
        <x:v>0.0122</x:v>
      </x:c>
      <x:c r="H32" s="21" t="str">
        <x:v>n.a.</x:v>
      </x:c>
      <x:c r="I32" s="2" t="str">
        <x:v>USD OCT26</x:v>
      </x:c>
      <x:c r="J32" s="2"/>
    </x:row>
    <x:row r="33" ht="23" customHeight="1">
      <x:c r="A33" s="2" t="str">
        <x:v>Qatar|USD</x:v>
      </x:c>
      <x:c r="B33" s="2" t="str">
        <x:v>Qatar</x:v>
      </x:c>
      <x:c r="C33" s="2" t="str">
        <x:v>USD</x:v>
      </x:c>
      <x:c r="D33" s="21" t="n">
        <x:v>0.012</x:v>
      </x:c>
      <x:c r="E33" s="21" t="n">
        <x:v>0.012</x:v>
      </x:c>
      <x:c r="F33" s="21" t="n">
        <x:v>0.0341</x:v>
      </x:c>
      <x:c r="G33" s="21" t="n">
        <x:v>0.012</x:v>
      </x:c>
      <x:c r="H33" s="21" t="str">
        <x:v>n.a.</x:v>
      </x:c>
      <x:c r="I33" s="2" t="str">
        <x:v>USD OCT26</x:v>
      </x:c>
      <x:c r="J33" s="2"/>
    </x:row>
    <x:row r="34" ht="23" customHeight="1">
      <x:c r="A34" s="2" t="str">
        <x:v>Romania|USD</x:v>
      </x:c>
      <x:c r="B34" s="2" t="str">
        <x:v>Romania</x:v>
      </x:c>
      <x:c r="C34" s="2" t="str">
        <x:v>USD</x:v>
      </x:c>
      <x:c r="D34" s="21" t="n">
        <x:v>0.029</x:v>
      </x:c>
      <x:c r="E34" s="21" t="n">
        <x:v>0.029</x:v>
      </x:c>
      <x:c r="F34" s="21" t="n">
        <x:v>0.086</x:v>
      </x:c>
      <x:c r="G34" s="21" t="n">
        <x:v>0.029</x:v>
      </x:c>
      <x:c r="H34" s="21" t="str">
        <x:v>n.a.</x:v>
      </x:c>
      <x:c r="I34" s="2" t="str">
        <x:v>USD OCT26</x:v>
      </x:c>
      <x:c r="J34" s="2"/>
    </x:row>
    <x:row r="35" ht="23" customHeight="1">
      <x:c r="A35" s="2" t="str">
        <x:v>Russia|USD</x:v>
      </x:c>
      <x:c r="B35" s="2" t="str">
        <x:v>Russia</x:v>
      </x:c>
      <x:c r="C35" s="2" t="str">
        <x:v>USD</x:v>
      </x:c>
      <x:c r="D35" s="21" t="n">
        <x:v>0.04</x:v>
      </x:c>
      <x:c r="E35" s="21" t="n">
        <x:v>0.04</x:v>
      </x:c>
      <x:c r="F35" s="21" t="n">
        <x:v>0.0802</x:v>
      </x:c>
      <x:c r="G35" s="21" t="n">
        <x:v>0.04</x:v>
      </x:c>
      <x:c r="H35" s="21" t="str">
        <x:v>n.a.</x:v>
      </x:c>
      <x:c r="I35" s="2" t="str">
        <x:v>USD OCT26</x:v>
      </x:c>
      <x:c r="J35" s="2"/>
    </x:row>
    <x:row r="36" ht="23" customHeight="1">
      <x:c r="A36" s="2" t="str">
        <x:v>Saudi Arabia|USD</x:v>
      </x:c>
      <x:c r="B36" s="2" t="str">
        <x:v>Saudi Arabia</x:v>
      </x:c>
      <x:c r="C36" s="2" t="str">
        <x:v>USD</x:v>
      </x:c>
      <x:c r="D36" s="21" t="n">
        <x:v>0.0107</x:v>
      </x:c>
      <x:c r="E36" s="21" t="n">
        <x:v>0.0107</x:v>
      </x:c>
      <x:c r="F36" s="21" t="n">
        <x:v>0.0576</x:v>
      </x:c>
      <x:c r="G36" s="21" t="n">
        <x:v>0.0107</x:v>
      </x:c>
      <x:c r="H36" s="21" t="n">
        <x:v>0.0598</x:v>
      </x:c>
      <x:c r="I36" s="2" t="str">
        <x:v>USD OCT26</x:v>
      </x:c>
      <x:c r="J36" s="2"/>
    </x:row>
    <x:row r="37" ht="23" customHeight="1">
      <x:c r="A37" s="2" t="str">
        <x:v>Singapore|USD</x:v>
      </x:c>
      <x:c r="B37" s="2" t="str">
        <x:v>Singapore</x:v>
      </x:c>
      <x:c r="C37" s="2" t="str">
        <x:v>USD</x:v>
      </x:c>
      <x:c r="D37" s="21" t="n">
        <x:v>0.016</x:v>
      </x:c>
      <x:c r="E37" s="21" t="n">
        <x:v>0.016</x:v>
      </x:c>
      <x:c r="F37" s="21" t="n">
        <x:v>0.0732</x:v>
      </x:c>
      <x:c r="G37" s="21" t="n">
        <x:v>0.016</x:v>
      </x:c>
      <x:c r="H37" s="21" t="str">
        <x:v>n.a.</x:v>
      </x:c>
      <x:c r="I37" s="2" t="str">
        <x:v>USD OCT26</x:v>
      </x:c>
      <x:c r="J37" s="2"/>
    </x:row>
    <x:row r="38" ht="23" customHeight="1">
      <x:c r="A38" s="2" t="str">
        <x:v>South Africa|USD</x:v>
      </x:c>
      <x:c r="B38" s="2" t="str">
        <x:v>South Africa</x:v>
      </x:c>
      <x:c r="C38" s="2" t="str">
        <x:v>USD</x:v>
      </x:c>
      <x:c r="D38" s="21" t="n">
        <x:v>0.0095</x:v>
      </x:c>
      <x:c r="E38" s="21" t="n">
        <x:v>0.0095</x:v>
      </x:c>
      <x:c r="F38" s="21" t="n">
        <x:v>0.0379</x:v>
      </x:c>
      <x:c r="G38" s="21" t="n">
        <x:v>0.0095</x:v>
      </x:c>
      <x:c r="H38" s="21" t="n">
        <x:v>0.02</x:v>
      </x:c>
      <x:c r="I38" s="2" t="str">
        <x:v>USD OCT26</x:v>
      </x:c>
      <x:c r="J38" s="2"/>
    </x:row>
    <x:row r="39" ht="23" customHeight="1">
      <x:c r="A39" s="2" t="str">
        <x:v>Spain|USD</x:v>
      </x:c>
      <x:c r="B39" s="2" t="str">
        <x:v>Spain</x:v>
      </x:c>
      <x:c r="C39" s="2" t="str">
        <x:v>USD</x:v>
      </x:c>
      <x:c r="D39" s="21" t="n">
        <x:v>0.02</x:v>
      </x:c>
      <x:c r="E39" s="21" t="n">
        <x:v>0.02</x:v>
      </x:c>
      <x:c r="F39" s="21" t="n">
        <x:v>0.0707</x:v>
      </x:c>
      <x:c r="G39" s="21" t="n">
        <x:v>0.02</x:v>
      </x:c>
      <x:c r="H39" s="21" t="str">
        <x:v>n.a.</x:v>
      </x:c>
      <x:c r="I39" s="2" t="str">
        <x:v>USD OCT26</x:v>
      </x:c>
      <x:c r="J39" s="2"/>
    </x:row>
    <x:row r="40" ht="23" customHeight="1">
      <x:c r="A40" s="2" t="str">
        <x:v>Sri Lanka|USD</x:v>
      </x:c>
      <x:c r="B40" s="2" t="str">
        <x:v>Sri Lanka</x:v>
      </x:c>
      <x:c r="C40" s="2" t="str">
        <x:v>USD</x:v>
      </x:c>
      <x:c r="D40" s="21" t="n">
        <x:v>0.002</x:v>
      </x:c>
      <x:c r="E40" s="21" t="n">
        <x:v>0.002</x:v>
      </x:c>
      <x:c r="F40" s="21" t="n">
        <x:v>0.0732</x:v>
      </x:c>
      <x:c r="G40" s="21" t="n">
        <x:v>0.002</x:v>
      </x:c>
      <x:c r="H40" s="21" t="n">
        <x:v>0.144</x:v>
      </x:c>
      <x:c r="I40" s="2" t="str">
        <x:v>USD OCT26</x:v>
      </x:c>
      <x:c r="J40" s="2"/>
    </x:row>
    <x:row r="41" ht="23" customHeight="1">
      <x:c r="A41" s="2" t="str">
        <x:v>Turkey|USD</x:v>
      </x:c>
      <x:c r="B41" s="2" t="str">
        <x:v>Turkey</x:v>
      </x:c>
      <x:c r="C41" s="2" t="str">
        <x:v>USD</x:v>
      </x:c>
      <x:c r="D41" s="21" t="n">
        <x:v>0.0009</x:v>
      </x:c>
      <x:c r="E41" s="21" t="n">
        <x:v>0.0009</x:v>
      </x:c>
      <x:c r="F41" s="21" t="n">
        <x:v>0.0109</x:v>
      </x:c>
      <x:c r="G41" s="21" t="n">
        <x:v>0.0009</x:v>
      </x:c>
      <x:c r="H41" s="21" t="str">
        <x:v>n.a.</x:v>
      </x:c>
      <x:c r="I41" s="2" t="str">
        <x:v>USD OCT26</x:v>
      </x:c>
      <x:c r="J41" s="2"/>
    </x:row>
    <x:row r="42" ht="23" customHeight="1">
      <x:c r="A42" s="2" t="str">
        <x:v>Ukraine|USD</x:v>
      </x:c>
      <x:c r="B42" s="2" t="str">
        <x:v>Ukraine</x:v>
      </x:c>
      <x:c r="C42" s="2" t="str">
        <x:v>USD</x:v>
      </x:c>
      <x:c r="D42" s="21" t="n">
        <x:v>0.0298</x:v>
      </x:c>
      <x:c r="E42" s="21" t="n">
        <x:v>0.0298</x:v>
      </x:c>
      <x:c r="F42" s="21" t="n">
        <x:v>0.086</x:v>
      </x:c>
      <x:c r="G42" s="21" t="n">
        <x:v>0.0298</x:v>
      </x:c>
      <x:c r="H42" s="21" t="n">
        <x:v>0.0746</x:v>
      </x:c>
      <x:c r="I42" s="2" t="str">
        <x:v>USD OCT26</x:v>
      </x:c>
      <x:c r="J42" s="2"/>
    </x:row>
    <x:row r="43" ht="23" customHeight="1">
      <x:c r="A43" s="2" t="str">
        <x:v>United Arab Emirates|USD</x:v>
      </x:c>
      <x:c r="B43" s="2" t="str">
        <x:v>United Arab Emirates</x:v>
      </x:c>
      <x:c r="C43" s="2" t="str">
        <x:v>USD</x:v>
      </x:c>
      <x:c r="D43" s="21" t="n">
        <x:v>0.0157</x:v>
      </x:c>
      <x:c r="E43" s="21" t="n">
        <x:v>0.0157</x:v>
      </x:c>
      <x:c r="F43" s="21" t="n">
        <x:v>0.0576</x:v>
      </x:c>
      <x:c r="G43" s="21" t="n">
        <x:v>0.0157</x:v>
      </x:c>
      <x:c r="H43" s="21" t="n">
        <x:v>0.051</x:v>
      </x:c>
      <x:c r="I43" s="2" t="str">
        <x:v>USD OCT26</x:v>
      </x:c>
      <x:c r="J43" s="2"/>
    </x:row>
    <x:row r="44" ht="23" customHeight="1">
      <x:c r="A44" s="2" t="str">
        <x:v>United Kingdom|USD</x:v>
      </x:c>
      <x:c r="B44" s="2" t="str">
        <x:v>United Kingdom</x:v>
      </x:c>
      <x:c r="C44" s="2" t="str">
        <x:v>USD</x:v>
      </x:c>
      <x:c r="D44" s="21" t="n">
        <x:v>0.022</x:v>
      </x:c>
      <x:c r="E44" s="21" t="n">
        <x:v>0.022</x:v>
      </x:c>
      <x:c r="F44" s="21" t="n">
        <x:v>0.0635</x:v>
      </x:c>
      <x:c r="G44" s="21" t="n">
        <x:v>0.022</x:v>
      </x:c>
      <x:c r="H44" s="21" t="str">
        <x:v>n.a.</x:v>
      </x:c>
      <x:c r="I44" s="2" t="str">
        <x:v>USD OCT26</x:v>
      </x:c>
      <x:c r="J44" s="2"/>
    </x:row>
    <x:row r="45" ht="23" customHeight="1">
      <x:c r="A45" s="2" t="str">
        <x:v>North America|USD</x:v>
      </x:c>
      <x:c r="B45" s="2" t="str">
        <x:v>North America</x:v>
      </x:c>
      <x:c r="C45" s="2" t="str">
        <x:v>USD</x:v>
      </x:c>
      <x:c r="D45" s="21" t="n">
        <x:v>0.0034</x:v>
      </x:c>
      <x:c r="E45" s="21" t="n">
        <x:v>0.0034</x:v>
      </x:c>
      <x:c r="F45" s="21" t="n">
        <x:v>0.025</x:v>
      </x:c>
      <x:c r="G45" s="21" t="n">
        <x:v>0.0034</x:v>
      </x:c>
      <x:c r="H45" s="21" t="str">
        <x:v>n.a.</x:v>
      </x:c>
      <x:c r="I45" s="2" t="str">
        <x:v>USD OCT26</x:v>
      </x:c>
      <x:c r="J45" s="2"/>
    </x:row>
    <x:row r="46" ht="23" customHeight="1">
      <x:c r="A46" s="2" t="str">
        <x:v>Rest of Africa|USD</x:v>
      </x:c>
      <x:c r="B46" s="2" t="str">
        <x:v>Rest of Africa</x:v>
      </x:c>
      <x:c r="C46" s="2" t="str">
        <x:v>USD</x:v>
      </x:c>
      <x:c r="D46" s="21" t="n">
        <x:v>0.004</x:v>
      </x:c>
      <x:c r="E46" s="21" t="n">
        <x:v>0.004</x:v>
      </x:c>
      <x:c r="F46" s="21" t="n">
        <x:v>0.0225</x:v>
      </x:c>
      <x:c r="G46" s="21" t="n">
        <x:v>0.004</x:v>
      </x:c>
      <x:c r="H46" s="21" t="str">
        <x:v>n.a.</x:v>
      </x:c>
      <x:c r="I46" s="2" t="str">
        <x:v>USD OCT26</x:v>
      </x:c>
      <x:c r="J46" s="2"/>
    </x:row>
    <x:row r="47" ht="23" customHeight="1">
      <x:c r="A47" s="2" t="str">
        <x:v>Rest of Asia Pacific|USD</x:v>
      </x:c>
      <x:c r="B47" s="2" t="str">
        <x:v>Rest of Asia Pacific</x:v>
      </x:c>
      <x:c r="C47" s="2" t="str">
        <x:v>USD</x:v>
      </x:c>
      <x:c r="D47" s="21" t="n">
        <x:v>0.0113</x:v>
      </x:c>
      <x:c r="E47" s="21" t="n">
        <x:v>0.0113</x:v>
      </x:c>
      <x:c r="F47" s="21" t="n">
        <x:v>0.0842</x:v>
      </x:c>
      <x:c r="G47" s="21" t="n">
        <x:v>0.0113</x:v>
      </x:c>
      <x:c r="H47" s="21" t="str">
        <x:v>n.a.</x:v>
      </x:c>
      <x:c r="I47" s="2" t="str">
        <x:v>USD OCT26</x:v>
      </x:c>
      <x:c r="J47" s="2"/>
    </x:row>
    <x:row r="48" ht="36" customHeight="1">
      <x:c r="A48" s="22" t="str">
        <x:v>Rest of Central &amp; Eastern Europe|USD</x:v>
      </x:c>
      <x:c r="B48" s="22" t="str">
        <x:v>Rest of Central &amp; Eastern Europe</x:v>
      </x:c>
      <x:c r="C48" s="2" t="str">
        <x:v>USD</x:v>
      </x:c>
      <x:c r="D48" s="21" t="n">
        <x:v>0.0212</x:v>
      </x:c>
      <x:c r="E48" s="21" t="n">
        <x:v>0.0212</x:v>
      </x:c>
      <x:c r="F48" s="21" t="n">
        <x:v>0.086</x:v>
      </x:c>
      <x:c r="G48" s="21" t="n">
        <x:v>0.0212</x:v>
      </x:c>
      <x:c r="H48" s="21" t="str">
        <x:v>n.a.</x:v>
      </x:c>
      <x:c r="I48" s="2" t="str">
        <x:v>USD OCT26</x:v>
      </x:c>
      <x:c r="J48" s="2"/>
    </x:row>
    <x:row r="49" ht="23" customHeight="1">
      <x:c r="A49" s="2" t="str">
        <x:v>Rest of Latin America|USD</x:v>
      </x:c>
      <x:c r="B49" s="2" t="str">
        <x:v>Rest of Latin America</x:v>
      </x:c>
      <x:c r="C49" s="2" t="str">
        <x:v>USD</x:v>
      </x:c>
      <x:c r="D49" s="21" t="n">
        <x:v>0.0113</x:v>
      </x:c>
      <x:c r="E49" s="21" t="n">
        <x:v>0.0113</x:v>
      </x:c>
      <x:c r="F49" s="21" t="n">
        <x:v>0.074</x:v>
      </x:c>
      <x:c r="G49" s="21" t="n">
        <x:v>0.0113</x:v>
      </x:c>
      <x:c r="H49" s="21" t="str">
        <x:v>n.a.</x:v>
      </x:c>
      <x:c r="I49" s="2" t="str">
        <x:v>USD OCT26</x:v>
      </x:c>
      <x:c r="J49" s="2"/>
    </x:row>
    <x:row r="50" ht="23" customHeight="1">
      <x:c r="A50" s="2" t="str">
        <x:v>Rest of Middle East|USD</x:v>
      </x:c>
      <x:c r="B50" s="2" t="str">
        <x:v>Rest of Middle East</x:v>
      </x:c>
      <x:c r="C50" s="2" t="str">
        <x:v>USD</x:v>
      </x:c>
      <x:c r="D50" s="21" t="n">
        <x:v>0.0091</x:v>
      </x:c>
      <x:c r="E50" s="21" t="n">
        <x:v>0.0091</x:v>
      </x:c>
      <x:c r="F50" s="21" t="n">
        <x:v>0.0392</x:v>
      </x:c>
      <x:c r="G50" s="21" t="n">
        <x:v>0.0091</x:v>
      </x:c>
      <x:c r="H50" s="21" t="str">
        <x:v>n.a.</x:v>
      </x:c>
      <x:c r="I50" s="2" t="str">
        <x:v>USD OCT26</x:v>
      </x:c>
      <x:c r="J50" s="2"/>
    </x:row>
    <x:row r="51" ht="23" customHeight="1">
      <x:c r="A51" s="2" t="str">
        <x:v>Rest of Western Europe|USD</x:v>
      </x:c>
      <x:c r="B51" s="2" t="str">
        <x:v>Rest of Western Europe</x:v>
      </x:c>
      <x:c r="C51" s="2" t="str">
        <x:v>USD</x:v>
      </x:c>
      <x:c r="D51" s="21" t="n">
        <x:v>0.0171</x:v>
      </x:c>
      <x:c r="E51" s="21" t="n">
        <x:v>0.0171</x:v>
      </x:c>
      <x:c r="F51" s="21" t="n">
        <x:v>0.0592</x:v>
      </x:c>
      <x:c r="G51" s="21" t="n">
        <x:v>0.0171</x:v>
      </x:c>
      <x:c r="H51" s="21" t="str">
        <x:v>n.a.</x:v>
      </x:c>
      <x:c r="I51" s="2" t="str">
        <x:v>USD OCT26</x:v>
      </x:c>
      <x:c r="J51" s="2"/>
    </x:row>
    <x:row r="52" ht="23" customHeight="1">
      <x:c r="A52" s="2" t="str">
        <x:v>Other|USD</x:v>
      </x:c>
      <x:c r="B52" s="2" t="str">
        <x:v>Other</x:v>
      </x:c>
      <x:c r="C52" s="2" t="str">
        <x:v>USD</x:v>
      </x:c>
      <x:c r="D52" s="21" t="n">
        <x:v>0.0077</x:v>
      </x:c>
      <x:c r="E52" s="21" t="n">
        <x:v>0.0077</x:v>
      </x:c>
      <x:c r="F52" s="21" t="n">
        <x:v>0.0604</x:v>
      </x:c>
      <x:c r="G52" s="21" t="n">
        <x:v>0.0077</x:v>
      </x:c>
      <x:c r="H52" s="21" t="str">
        <x:v>n.a.</x:v>
      </x:c>
      <x:c r="I52" s="2" t="str">
        <x:v>USD OCT26</x:v>
      </x:c>
      <x:c r="J52" s="2"/>
    </x:row>
    <x:row r="53" ht="23" customHeight="1">
      <x:c r="A53" s="2" t="str">
        <x:v>Argentina|COP</x:v>
      </x:c>
      <x:c r="B53" s="2" t="str">
        <x:v>Argentina</x:v>
      </x:c>
      <x:c r="C53" s="2" t="str">
        <x:v>COP</x:v>
      </x:c>
      <x:c r="D53" s="21" t="n">
        <x:v>95.7271</x:v>
      </x:c>
      <x:c r="E53" s="21" t="n">
        <x:v>95.7271</x:v>
      </x:c>
      <x:c r="F53" s="21" t="n">
        <x:v>227.5361</x:v>
      </x:c>
      <x:c r="G53" s="21" t="n">
        <x:v>95.7271</x:v>
      </x:c>
      <x:c r="H53" s="21" t="str">
        <x:v>n.a.</x:v>
      </x:c>
      <x:c r="I53" s="2" t="str">
        <x:v>COP OCT26</x:v>
      </x:c>
      <x:c r="J53" s="2"/>
    </x:row>
    <x:row r="54" ht="23" customHeight="1">
      <x:c r="A54" s="2" t="str">
        <x:v>Bangladesh|COP</x:v>
      </x:c>
      <x:c r="B54" s="2" t="str">
        <x:v>Bangladesh</x:v>
      </x:c>
      <x:c r="C54" s="2" t="str">
        <x:v>COP</x:v>
      </x:c>
      <x:c r="D54" s="21" t="n">
        <x:v>13.6227</x:v>
      </x:c>
      <x:c r="E54" s="21" t="n">
        <x:v>13.6227</x:v>
      </x:c>
      <x:c r="F54" s="21" t="n">
        <x:v>269.5087</x:v>
      </x:c>
      <x:c r="G54" s="21" t="n">
        <x:v>13.6227</x:v>
      </x:c>
      <x:c r="H54" s="21" t="n">
        <x:v>353.4542</x:v>
      </x:c>
      <x:c r="I54" s="2" t="str">
        <x:v>COP OCT26</x:v>
      </x:c>
      <x:c r="J54" s="2"/>
    </x:row>
    <x:row r="55" ht="23" customHeight="1">
      <x:c r="A55" s="2" t="str">
        <x:v>Brazil|COP</x:v>
      </x:c>
      <x:c r="B55" s="2" t="str">
        <x:v>Brazil</x:v>
      </x:c>
      <x:c r="C55" s="2" t="str">
        <x:v>COP</x:v>
      </x:c>
      <x:c r="D55" s="21" t="n">
        <x:v>25.0363</x:v>
      </x:c>
      <x:c r="E55" s="21" t="n">
        <x:v>25.0363</x:v>
      </x:c>
      <x:c r="F55" s="21" t="n">
        <x:v>230.1133</x:v>
      </x:c>
      <x:c r="G55" s="21" t="n">
        <x:v>25.0363</x:v>
      </x:c>
      <x:c r="H55" s="21" t="str">
        <x:v>n.a.</x:v>
      </x:c>
      <x:c r="I55" s="2" t="str">
        <x:v>COP OCT26</x:v>
      </x:c>
      <x:c r="J55" s="2"/>
    </x:row>
    <x:row r="56" ht="23" customHeight="1">
      <x:c r="A56" s="2" t="str">
        <x:v>Chile|COP</x:v>
      </x:c>
      <x:c r="B56" s="2" t="str">
        <x:v>Chile</x:v>
      </x:c>
      <x:c r="C56" s="2" t="str">
        <x:v>COP</x:v>
      </x:c>
      <x:c r="D56" s="21" t="n">
        <x:v>73.6363</x:v>
      </x:c>
      <x:c r="E56" s="21" t="n">
        <x:v>73.6363</x:v>
      </x:c>
      <x:c r="F56" s="21" t="n">
        <x:v>327.3132</x:v>
      </x:c>
      <x:c r="G56" s="21" t="n">
        <x:v>73.6363</x:v>
      </x:c>
      <x:c r="H56" s="21" t="str">
        <x:v>n.a.</x:v>
      </x:c>
      <x:c r="I56" s="2" t="str">
        <x:v>COP OCT26</x:v>
      </x:c>
      <x:c r="J56" s="2"/>
    </x:row>
    <x:row r="57" ht="23" customHeight="1">
      <x:c r="A57" s="2" t="str">
        <x:v>Colombia|COP</x:v>
      </x:c>
      <x:c r="B57" s="2" t="str">
        <x:v>Colombia</x:v>
      </x:c>
      <x:c r="C57" s="2" t="str">
        <x:v>COP</x:v>
      </x:c>
      <x:c r="D57" s="21" t="n">
        <x:v>2.9455</x:v>
      </x:c>
      <x:c r="E57" s="21" t="n">
        <x:v>2.9455</x:v>
      </x:c>
      <x:c r="F57" s="21" t="n">
        <x:v>46.0227</x:v>
      </x:c>
      <x:c r="G57" s="21" t="n">
        <x:v>2.9455</x:v>
      </x:c>
      <x:c r="H57" s="21" t="str">
        <x:v>n.a.</x:v>
      </x:c>
      <x:c r="I57" s="2" t="str">
        <x:v>COP OCT26</x:v>
      </x:c>
      <x:c r="J57" s="2"/>
    </x:row>
    <x:row r="58" ht="23" customHeight="1">
      <x:c r="A58" s="2" t="str">
        <x:v>Egypt|COP</x:v>
      </x:c>
      <x:c r="B58" s="2" t="str">
        <x:v>Egypt</x:v>
      </x:c>
      <x:c r="C58" s="2" t="str">
        <x:v>COP</x:v>
      </x:c>
      <x:c r="D58" s="21" t="n">
        <x:v>13.2545</x:v>
      </x:c>
      <x:c r="E58" s="21" t="n">
        <x:v>13.2545</x:v>
      </x:c>
      <x:c r="F58" s="21" t="n">
        <x:v>237.1088</x:v>
      </x:c>
      <x:c r="G58" s="21" t="n">
        <x:v>13.2545</x:v>
      </x:c>
      <x:c r="H58" s="21" t="n">
        <x:v>239.3179</x:v>
      </x:c>
      <x:c r="I58" s="2" t="str">
        <x:v>COP OCT26</x:v>
      </x:c>
      <x:c r="J58" s="2"/>
    </x:row>
    <x:row r="59" ht="23" customHeight="1">
      <x:c r="A59" s="2" t="str">
        <x:v>France|COP</x:v>
      </x:c>
      <x:c r="B59" s="2" t="str">
        <x:v>France</x:v>
      </x:c>
      <x:c r="C59" s="2" t="str">
        <x:v>COP</x:v>
      </x:c>
      <x:c r="D59" s="21" t="n">
        <x:v>110.4544</x:v>
      </x:c>
      <x:c r="E59" s="21" t="n">
        <x:v>110.4544</x:v>
      </x:c>
      <x:c r="F59" s="21" t="n">
        <x:v>316.2678</x:v>
      </x:c>
      <x:c r="G59" s="21" t="n">
        <x:v>110.4544</x:v>
      </x:c>
      <x:c r="H59" s="21" t="str">
        <x:v>n.a.</x:v>
      </x:c>
      <x:c r="I59" s="2" t="str">
        <x:v>COP OCT26</x:v>
      </x:c>
      <x:c r="J59" s="2"/>
    </x:row>
    <x:row r="60" ht="23" customHeight="1">
      <x:c r="A60" s="2" t="str">
        <x:v>Germany|COP</x:v>
      </x:c>
      <x:c r="B60" s="2" t="str">
        <x:v>Germany</x:v>
      </x:c>
      <x:c r="C60" s="2" t="str">
        <x:v>COP</x:v>
      </x:c>
      <x:c r="D60" s="21" t="n">
        <x:v>202.4997</x:v>
      </x:c>
      <x:c r="E60" s="21" t="n">
        <x:v>202.4997</x:v>
      </x:c>
      <x:c r="F60" s="21" t="n">
        <x:v>502.5675</x:v>
      </x:c>
      <x:c r="G60" s="21" t="n">
        <x:v>202.4997</x:v>
      </x:c>
      <x:c r="H60" s="21" t="str">
        <x:v>n.a.</x:v>
      </x:c>
      <x:c r="I60" s="2" t="str">
        <x:v>COP OCT26</x:v>
      </x:c>
      <x:c r="J60" s="2"/>
    </x:row>
    <x:row r="61" ht="23" customHeight="1">
      <x:c r="A61" s="2" t="str">
        <x:v>Hong Kong|COP</x:v>
      </x:c>
      <x:c r="B61" s="2" t="str">
        <x:v>Hong Kong</x:v>
      </x:c>
      <x:c r="C61" s="2" t="str">
        <x:v>COP</x:v>
      </x:c>
      <x:c r="D61" s="21" t="n">
        <x:v>95.7272</x:v>
      </x:c>
      <x:c r="E61" s="21" t="n">
        <x:v>95.7272</x:v>
      </x:c>
      <x:c r="F61" s="21" t="n">
        <x:v>269.5087</x:v>
      </x:c>
      <x:c r="G61" s="21" t="n">
        <x:v>95.7272</x:v>
      </x:c>
      <x:c r="H61" s="21" t="str">
        <x:v>n.a.</x:v>
      </x:c>
      <x:c r="I61" s="2" t="str">
        <x:v>COP OCT26</x:v>
      </x:c>
      <x:c r="J61" s="2"/>
    </x:row>
    <x:row r="62" ht="23" customHeight="1">
      <x:c r="A62" s="2" t="str">
        <x:v>Hungary|COP</x:v>
      </x:c>
      <x:c r="B62" s="2" t="str">
        <x:v>Hungary</x:v>
      </x:c>
      <x:c r="C62" s="2" t="str">
        <x:v>COP</x:v>
      </x:c>
      <x:c r="D62" s="21" t="n">
        <x:v>128.8634</x:v>
      </x:c>
      <x:c r="E62" s="21" t="n">
        <x:v>128.8634</x:v>
      </x:c>
      <x:c r="F62" s="21" t="n">
        <x:v>316.636</x:v>
      </x:c>
      <x:c r="G62" s="21" t="n">
        <x:v>128.8634</x:v>
      </x:c>
      <x:c r="H62" s="21" t="str">
        <x:v>n.a.</x:v>
      </x:c>
      <x:c r="I62" s="2" t="str">
        <x:v>COP OCT26</x:v>
      </x:c>
      <x:c r="J62" s="2"/>
    </x:row>
    <x:row r="63" ht="23" customHeight="1">
      <x:c r="A63" s="2" t="str">
        <x:v>India|COP</x:v>
      </x:c>
      <x:c r="B63" s="2" t="str">
        <x:v>India</x:v>
      </x:c>
      <x:c r="C63" s="2" t="str">
        <x:v>COP</x:v>
      </x:c>
      <x:c r="D63" s="21" t="n">
        <x:v>5.1545</x:v>
      </x:c>
      <x:c r="E63" s="21" t="n">
        <x:v>5.1545</x:v>
      </x:c>
      <x:c r="F63" s="21" t="n">
        <x:v>43.4454</x:v>
      </x:c>
      <x:c r="G63" s="21" t="n">
        <x:v>5.1545</x:v>
      </x:c>
      <x:c r="H63" s="21" t="n">
        <x:v>111.9271</x:v>
      </x:c>
      <x:c r="I63" s="2" t="str">
        <x:v>COP OCT26</x:v>
      </x:c>
      <x:c r="J63" s="2"/>
    </x:row>
    <x:row r="64" ht="23" customHeight="1">
      <x:c r="A64" s="2" t="str">
        <x:v>Indonesia|COP</x:v>
      </x:c>
      <x:c r="B64" s="2" t="str">
        <x:v>Indonesia</x:v>
      </x:c>
      <x:c r="C64" s="2" t="str">
        <x:v>COP</x:v>
      </x:c>
      <x:c r="D64" s="21" t="n">
        <x:v>92.0453</x:v>
      </x:c>
      <x:c r="E64" s="21" t="n">
        <x:v>92.0453</x:v>
      </x:c>
      <x:c r="F64" s="21" t="n">
        <x:v>151.3225</x:v>
      </x:c>
      <x:c r="G64" s="21" t="n">
        <x:v>92.0453</x:v>
      </x:c>
      <x:c r="H64" s="21" t="n">
        <x:v>500.7266</x:v>
      </x:c>
      <x:c r="I64" s="2" t="str">
        <x:v>COP OCT26</x:v>
      </x:c>
      <x:c r="J64" s="2"/>
    </x:row>
    <x:row r="65" ht="23" customHeight="1">
      <x:c r="A65" s="2" t="str">
        <x:v>Iraq|COP</x:v>
      </x:c>
      <x:c r="B65" s="2" t="str">
        <x:v>Iraq</x:v>
      </x:c>
      <x:c r="C65" s="2" t="str">
        <x:v>COP</x:v>
      </x:c>
      <x:c r="D65" s="21" t="n">
        <x:v>29.0863</x:v>
      </x:c>
      <x:c r="E65" s="21" t="n">
        <x:v>29.0863</x:v>
      </x:c>
      <x:c r="F65" s="21" t="n">
        <x:v>125.5498</x:v>
      </x:c>
      <x:c r="G65" s="21" t="n">
        <x:v>29.0863</x:v>
      </x:c>
      <x:c r="H65" s="21" t="n">
        <x:v>471.2721</x:v>
      </x:c>
      <x:c r="I65" s="2" t="str">
        <x:v>COP OCT26</x:v>
      </x:c>
      <x:c r="J65" s="2"/>
    </x:row>
    <x:row r="66" ht="23" customHeight="1">
      <x:c r="A66" s="2" t="str">
        <x:v>Israel|COP</x:v>
      </x:c>
      <x:c r="B66" s="2" t="str">
        <x:v>Israel</x:v>
      </x:c>
      <x:c r="C66" s="2" t="str">
        <x:v>COP</x:v>
      </x:c>
      <x:c r="D66" s="21" t="n">
        <x:v>19.5136</x:v>
      </x:c>
      <x:c r="E66" s="21" t="n">
        <x:v>19.5136</x:v>
      </x:c>
      <x:c r="F66" s="21" t="n">
        <x:v>129.968</x:v>
      </x:c>
      <x:c r="G66" s="21" t="n">
        <x:v>19.5136</x:v>
      </x:c>
      <x:c r="H66" s="21" t="str">
        <x:v>n.a.</x:v>
      </x:c>
      <x:c r="I66" s="2" t="str">
        <x:v>COP OCT26</x:v>
      </x:c>
      <x:c r="J66" s="2"/>
    </x:row>
    <x:row r="67" ht="23" customHeight="1">
      <x:c r="A67" s="2" t="str">
        <x:v>Italy|COP</x:v>
      </x:c>
      <x:c r="B67" s="2" t="str">
        <x:v>Italy</x:v>
      </x:c>
      <x:c r="C67" s="2" t="str">
        <x:v>COP</x:v>
      </x:c>
      <x:c r="D67" s="21" t="n">
        <x:v>110.4544</x:v>
      </x:c>
      <x:c r="E67" s="21" t="n">
        <x:v>110.4544</x:v>
      </x:c>
      <x:c r="F67" s="21" t="n">
        <x:v>292.5753</x:v>
      </x:c>
      <x:c r="G67" s="21" t="n">
        <x:v>110.4544</x:v>
      </x:c>
      <x:c r="H67" s="21" t="str">
        <x:v>n.a.</x:v>
      </x:c>
      <x:c r="I67" s="2" t="str">
        <x:v>COP OCT26</x:v>
      </x:c>
      <x:c r="J67" s="2"/>
    </x:row>
    <x:row r="68" ht="23" customHeight="1">
      <x:c r="A68" s="2" t="str">
        <x:v>Kazakhstan|COP</x:v>
      </x:c>
      <x:c r="B68" s="2" t="str">
        <x:v>Kazakhstan</x:v>
      </x:c>
      <x:c r="C68" s="2" t="str">
        <x:v>COP</x:v>
      </x:c>
      <x:c r="D68" s="21" t="n">
        <x:v>66.2727</x:v>
      </x:c>
      <x:c r="E68" s="21" t="n">
        <x:v>66.2727</x:v>
      </x:c>
      <x:c r="F68" s="21" t="n">
        <x:v>222.3815</x:v>
      </x:c>
      <x:c r="G68" s="21" t="n">
        <x:v>66.2727</x:v>
      </x:c>
      <x:c r="H68" s="21" t="n">
        <x:v>589.0909</x:v>
      </x:c>
      <x:c r="I68" s="2" t="str">
        <x:v>COP OCT26</x:v>
      </x:c>
      <x:c r="J68" s="2"/>
    </x:row>
    <x:row r="69" ht="23" customHeight="1">
      <x:c r="A69" s="2" t="str">
        <x:v>Kuwait|COP</x:v>
      </x:c>
      <x:c r="B69" s="2" t="str">
        <x:v>Kuwait</x:v>
      </x:c>
      <x:c r="C69" s="2" t="str">
        <x:v>COP</x:v>
      </x:c>
      <x:c r="D69" s="21" t="n">
        <x:v>161.9998</x:v>
      </x:c>
      <x:c r="E69" s="21" t="n">
        <x:v>161.9998</x:v>
      </x:c>
      <x:c r="F69" s="21" t="n">
        <x:v>291.6522</x:v>
      </x:c>
      <x:c r="G69" s="21" t="n">
        <x:v>161.9998</x:v>
      </x:c>
      <x:c r="H69" s="21" t="n">
        <x:v>441.8176</x:v>
      </x:c>
      <x:c r="I69" s="2" t="str">
        <x:v>COP OCT26</x:v>
      </x:c>
      <x:c r="J69" s="2"/>
    </x:row>
    <x:row r="70" ht="23" customHeight="1">
      <x:c r="A70" s="2" t="str">
        <x:v>Malaysia|COP</x:v>
      </x:c>
      <x:c r="B70" s="2" t="str">
        <x:v>Malaysia</x:v>
      </x:c>
      <x:c r="C70" s="2" t="str">
        <x:v>COP</x:v>
      </x:c>
      <x:c r="D70" s="21" t="n">
        <x:v>51.5454</x:v>
      </x:c>
      <x:c r="E70" s="21" t="n">
        <x:v>51.5454</x:v>
      </x:c>
      <x:c r="F70" s="21" t="n">
        <x:v>316.636</x:v>
      </x:c>
      <x:c r="G70" s="21" t="n">
        <x:v>51.5454</x:v>
      </x:c>
      <x:c r="H70" s="21" t="n">
        <x:v>153.8998</x:v>
      </x:c>
      <x:c r="I70" s="2" t="str">
        <x:v>COP OCT26</x:v>
      </x:c>
      <x:c r="J70" s="2"/>
    </x:row>
    <x:row r="71" ht="23" customHeight="1">
      <x:c r="A71" s="2" t="str">
        <x:v>Mexico|COP</x:v>
      </x:c>
      <x:c r="B71" s="2" t="str">
        <x:v>Mexico</x:v>
      </x:c>
      <x:c r="C71" s="2" t="str">
        <x:v>COP</x:v>
      </x:c>
      <x:c r="D71" s="21" t="n">
        <x:v>31.2954</x:v>
      </x:c>
      <x:c r="E71" s="21" t="n">
        <x:v>31.2954</x:v>
      </x:c>
      <x:c r="F71" s="21" t="n">
        <x:v>145.9839</x:v>
      </x:c>
      <x:c r="G71" s="21" t="n">
        <x:v>31.2954</x:v>
      </x:c>
      <x:c r="H71" s="21" t="str">
        <x:v>n.a.</x:v>
      </x:c>
      <x:c r="I71" s="2" t="str">
        <x:v>COP OCT26</x:v>
      </x:c>
      <x:c r="J71" s="2"/>
    </x:row>
    <x:row r="72" ht="23" customHeight="1">
      <x:c r="A72" s="2" t="str">
        <x:v>Morocco|COP</x:v>
      </x:c>
      <x:c r="B72" s="2" t="str">
        <x:v>Morocco</x:v>
      </x:c>
      <x:c r="C72" s="2" t="str">
        <x:v>COP</x:v>
      </x:c>
      <x:c r="D72" s="21" t="n">
        <x:v>84.682</x:v>
      </x:c>
      <x:c r="E72" s="21" t="n">
        <x:v>84.682</x:v>
      </x:c>
      <x:c r="F72" s="21" t="n">
        <x:v>152.4271</x:v>
      </x:c>
      <x:c r="G72" s="21" t="n">
        <x:v>84.682</x:v>
      </x:c>
      <x:c r="H72" s="21" t="n">
        <x:v>298.596</x:v>
      </x:c>
      <x:c r="I72" s="2" t="str">
        <x:v>COP OCT26</x:v>
      </x:c>
      <x:c r="J72" s="2"/>
    </x:row>
    <x:row r="73" ht="23" customHeight="1">
      <x:c r="A73" s="2" t="str">
        <x:v>Netherlands|COP</x:v>
      </x:c>
      <x:c r="B73" s="2" t="str">
        <x:v>Netherlands</x:v>
      </x:c>
      <x:c r="C73" s="2" t="str">
        <x:v>COP</x:v>
      </x:c>
      <x:c r="D73" s="21" t="n">
        <x:v>184.0907</x:v>
      </x:c>
      <x:c r="E73" s="21" t="n">
        <x:v>184.0907</x:v>
      </x:c>
      <x:c r="F73" s="21" t="n">
        <x:v>587.9856</x:v>
      </x:c>
      <x:c r="G73" s="21" t="n">
        <x:v>184.0907</x:v>
      </x:c>
      <x:c r="H73" s="21" t="str">
        <x:v>n.a.</x:v>
      </x:c>
      <x:c r="I73" s="2" t="str">
        <x:v>COP OCT26</x:v>
      </x:c>
      <x:c r="J73" s="2"/>
    </x:row>
    <x:row r="74" ht="23" customHeight="1">
      <x:c r="A74" s="2" t="str">
        <x:v>Nepal|COP</x:v>
      </x:c>
      <x:c r="B74" s="2" t="str">
        <x:v>Nepal</x:v>
      </x:c>
      <x:c r="C74" s="2" t="str">
        <x:v>COP</x:v>
      </x:c>
      <x:c r="D74" s="21" t="n">
        <x:v>12.5182</x:v>
      </x:c>
      <x:c r="E74" s="21" t="n">
        <x:v>12.5182</x:v>
      </x:c>
      <x:c r="F74" s="21" t="n">
        <x:v>269.5087</x:v>
      </x:c>
      <x:c r="G74" s="21" t="n">
        <x:v>12.5182</x:v>
      </x:c>
      <x:c r="H74" s="21" t="n">
        <x:v>412.3632</x:v>
      </x:c>
      <x:c r="I74" s="2" t="str">
        <x:v>COP OCT26</x:v>
      </x:c>
      <x:c r="J74" s="2"/>
    </x:row>
    <x:row r="75" ht="23" customHeight="1">
      <x:c r="A75" s="2" t="str">
        <x:v>Nigeria|COP</x:v>
      </x:c>
      <x:c r="B75" s="2" t="str">
        <x:v>Nigeria</x:v>
      </x:c>
      <x:c r="C75" s="2" t="str">
        <x:v>COP</x:v>
      </x:c>
      <x:c r="D75" s="21" t="n">
        <x:v>24.6681</x:v>
      </x:c>
      <x:c r="E75" s="21" t="n">
        <x:v>24.6681</x:v>
      </x:c>
      <x:c r="F75" s="21" t="n">
        <x:v>189.9816</x:v>
      </x:c>
      <x:c r="G75" s="21" t="n">
        <x:v>24.6681</x:v>
      </x:c>
      <x:c r="H75" s="21" t="n">
        <x:v>276.136</x:v>
      </x:c>
      <x:c r="I75" s="2" t="str">
        <x:v>COP OCT26</x:v>
      </x:c>
      <x:c r="J75" s="2"/>
    </x:row>
    <x:row r="76" ht="23" customHeight="1">
      <x:c r="A76" s="2" t="str">
        <x:v>Oman|COP</x:v>
      </x:c>
      <x:c r="B76" s="2" t="str">
        <x:v>Oman</x:v>
      </x:c>
      <x:c r="C76" s="2" t="str">
        <x:v>COP</x:v>
      </x:c>
      <x:c r="D76" s="21" t="n">
        <x:v>90.9408</x:v>
      </x:c>
      <x:c r="E76" s="21" t="n">
        <x:v>90.9408</x:v>
      </x:c>
      <x:c r="F76" s="21" t="n">
        <x:v>125.5498</x:v>
      </x:c>
      <x:c r="G76" s="21" t="n">
        <x:v>90.9408</x:v>
      </x:c>
      <x:c r="H76" s="21" t="n">
        <x:v>220.9088</x:v>
      </x:c>
      <x:c r="I76" s="2" t="str">
        <x:v>COP OCT26</x:v>
      </x:c>
      <x:c r="J76" s="2"/>
    </x:row>
    <x:row r="77" ht="23" customHeight="1">
      <x:c r="A77" s="2" t="str">
        <x:v>Pakistan|COP</x:v>
      </x:c>
      <x:c r="B77" s="2" t="str">
        <x:v>Pakistan</x:v>
      </x:c>
      <x:c r="C77" s="2" t="str">
        <x:v>COP</x:v>
      </x:c>
      <x:c r="D77" s="21" t="n">
        <x:v>55.2272</x:v>
      </x:c>
      <x:c r="E77" s="21" t="n">
        <x:v>55.2272</x:v>
      </x:c>
      <x:c r="F77" s="21" t="n">
        <x:v>174.1498</x:v>
      </x:c>
      <x:c r="G77" s="21" t="n">
        <x:v>55.2272</x:v>
      </x:c>
      <x:c r="H77" s="21" t="n">
        <x:v>276.136</x:v>
      </x:c>
      <x:c r="I77" s="2" t="str">
        <x:v>COP OCT26</x:v>
      </x:c>
      <x:c r="J77" s="2"/>
    </x:row>
    <x:row r="78" ht="23" customHeight="1">
      <x:c r="A78" s="2" t="str">
        <x:v>Peru|COP</x:v>
      </x:c>
      <x:c r="B78" s="2" t="str">
        <x:v>Peru</x:v>
      </x:c>
      <x:c r="C78" s="2" t="str">
        <x:v>COP</x:v>
      </x:c>
      <x:c r="D78" s="21" t="n">
        <x:v>110.4545</x:v>
      </x:c>
      <x:c r="E78" s="21" t="n">
        <x:v>110.4545</x:v>
      </x:c>
      <x:c r="F78" s="21" t="n">
        <x:v>258.8315</x:v>
      </x:c>
      <x:c r="G78" s="21" t="n">
        <x:v>110.4545</x:v>
      </x:c>
      <x:c r="H78" s="21" t="str">
        <x:v>n.a.</x:v>
      </x:c>
      <x:c r="I78" s="2" t="str">
        <x:v>COP OCT26</x:v>
      </x:c>
      <x:c r="J78" s="2"/>
    </x:row>
    <x:row r="79" ht="23" customHeight="1">
      <x:c r="A79" s="2" t="str">
        <x:v>Poland|COP</x:v>
      </x:c>
      <x:c r="B79" s="2" t="str">
        <x:v>Poland</x:v>
      </x:c>
      <x:c r="C79" s="2" t="str">
        <x:v>COP</x:v>
      </x:c>
      <x:c r="D79" s="21" t="n">
        <x:v>44.9181</x:v>
      </x:c>
      <x:c r="E79" s="21" t="n">
        <x:v>44.9181</x:v>
      </x:c>
      <x:c r="F79" s="21" t="n">
        <x:v>134.7543</x:v>
      </x:c>
      <x:c r="G79" s="21" t="n">
        <x:v>44.9181</x:v>
      </x:c>
      <x:c r="H79" s="21" t="str">
        <x:v>n.a.</x:v>
      </x:c>
      <x:c r="I79" s="2" t="str">
        <x:v>COP OCT26</x:v>
      </x:c>
      <x:c r="J79" s="2"/>
    </x:row>
    <x:row r="80" ht="23" customHeight="1">
      <x:c r="A80" s="2" t="str">
        <x:v>Qatar|COP</x:v>
      </x:c>
      <x:c r="B80" s="2" t="str">
        <x:v>Qatar</x:v>
      </x:c>
      <x:c r="C80" s="2" t="str">
        <x:v>COP</x:v>
      </x:c>
      <x:c r="D80" s="21" t="n">
        <x:v>44.1818</x:v>
      </x:c>
      <x:c r="E80" s="21" t="n">
        <x:v>44.1818</x:v>
      </x:c>
      <x:c r="F80" s="21" t="n">
        <x:v>125.5498</x:v>
      </x:c>
      <x:c r="G80" s="21" t="n">
        <x:v>44.1818</x:v>
      </x:c>
      <x:c r="H80" s="21" t="str">
        <x:v>n.a.</x:v>
      </x:c>
      <x:c r="I80" s="2" t="str">
        <x:v>COP OCT26</x:v>
      </x:c>
      <x:c r="J80" s="2"/>
    </x:row>
    <x:row r="81" ht="23" customHeight="1">
      <x:c r="A81" s="2" t="str">
        <x:v>Romania|COP</x:v>
      </x:c>
      <x:c r="B81" s="2" t="str">
        <x:v>Romania</x:v>
      </x:c>
      <x:c r="C81" s="2" t="str">
        <x:v>COP</x:v>
      </x:c>
      <x:c r="D81" s="21" t="n">
        <x:v>106.7725</x:v>
      </x:c>
      <x:c r="E81" s="21" t="n">
        <x:v>106.7725</x:v>
      </x:c>
      <x:c r="F81" s="21" t="n">
        <x:v>316.636</x:v>
      </x:c>
      <x:c r="G81" s="21" t="n">
        <x:v>106.7725</x:v>
      </x:c>
      <x:c r="H81" s="21" t="str">
        <x:v>n.a.</x:v>
      </x:c>
      <x:c r="I81" s="2" t="str">
        <x:v>COP OCT26</x:v>
      </x:c>
      <x:c r="J81" s="2"/>
    </x:row>
    <x:row r="82" ht="23" customHeight="1">
      <x:c r="A82" s="2" t="str">
        <x:v>Russia|COP</x:v>
      </x:c>
      <x:c r="B82" s="2" t="str">
        <x:v>Russia</x:v>
      </x:c>
      <x:c r="C82" s="2" t="str">
        <x:v>COP</x:v>
      </x:c>
      <x:c r="D82" s="21" t="n">
        <x:v>147.2725</x:v>
      </x:c>
      <x:c r="E82" s="21" t="n">
        <x:v>147.2725</x:v>
      </x:c>
      <x:c r="F82" s="21" t="n">
        <x:v>295.2814</x:v>
      </x:c>
      <x:c r="G82" s="21" t="n">
        <x:v>147.2725</x:v>
      </x:c>
      <x:c r="H82" s="21" t="str">
        <x:v>n.a.</x:v>
      </x:c>
      <x:c r="I82" s="2" t="str">
        <x:v>COP OCT26</x:v>
      </x:c>
      <x:c r="J82" s="2"/>
    </x:row>
    <x:row r="83" ht="23" customHeight="1">
      <x:c r="A83" s="2" t="str">
        <x:v>Saudi Arabia|COP</x:v>
      </x:c>
      <x:c r="B83" s="2" t="str">
        <x:v>Saudi Arabia</x:v>
      </x:c>
      <x:c r="C83" s="2" t="str">
        <x:v>COP</x:v>
      </x:c>
      <x:c r="D83" s="21" t="n">
        <x:v>39.3954</x:v>
      </x:c>
      <x:c r="E83" s="21" t="n">
        <x:v>39.3954</x:v>
      </x:c>
      <x:c r="F83" s="21" t="n">
        <x:v>212.1277</x:v>
      </x:c>
      <x:c r="G83" s="21" t="n">
        <x:v>39.3954</x:v>
      </x:c>
      <x:c r="H83" s="21" t="n">
        <x:v>220.1724</x:v>
      </x:c>
      <x:c r="I83" s="2" t="str">
        <x:v>COP OCT26</x:v>
      </x:c>
      <x:c r="J83" s="2"/>
    </x:row>
    <x:row r="84" ht="23" customHeight="1">
      <x:c r="A84" s="2" t="str">
        <x:v>Singapore|COP</x:v>
      </x:c>
      <x:c r="B84" s="2" t="str">
        <x:v>Singapore</x:v>
      </x:c>
      <x:c r="C84" s="2" t="str">
        <x:v>COP</x:v>
      </x:c>
      <x:c r="D84" s="21" t="n">
        <x:v>58.909</x:v>
      </x:c>
      <x:c r="E84" s="21" t="n">
        <x:v>58.909</x:v>
      </x:c>
      <x:c r="F84" s="21" t="n">
        <x:v>269.5087</x:v>
      </x:c>
      <x:c r="G84" s="21" t="n">
        <x:v>58.909</x:v>
      </x:c>
      <x:c r="H84" s="21" t="str">
        <x:v>n.a.</x:v>
      </x:c>
      <x:c r="I84" s="2" t="str">
        <x:v>COP OCT26</x:v>
      </x:c>
      <x:c r="J84" s="2"/>
    </x:row>
    <x:row r="85" ht="23" customHeight="1">
      <x:c r="A85" s="2" t="str">
        <x:v>South Africa|COP</x:v>
      </x:c>
      <x:c r="B85" s="2" t="str">
        <x:v>South Africa</x:v>
      </x:c>
      <x:c r="C85" s="2" t="str">
        <x:v>COP</x:v>
      </x:c>
      <x:c r="D85" s="21" t="n">
        <x:v>34.9773</x:v>
      </x:c>
      <x:c r="E85" s="21" t="n">
        <x:v>34.9773</x:v>
      </x:c>
      <x:c r="F85" s="21" t="n">
        <x:v>139.5407</x:v>
      </x:c>
      <x:c r="G85" s="21" t="n">
        <x:v>34.9773</x:v>
      </x:c>
      <x:c r="H85" s="21" t="n">
        <x:v>73.6363</x:v>
      </x:c>
      <x:c r="I85" s="2" t="str">
        <x:v>COP OCT26</x:v>
      </x:c>
      <x:c r="J85" s="2"/>
    </x:row>
    <x:row r="86" ht="23" customHeight="1">
      <x:c r="A86" s="2" t="str">
        <x:v>Spain|COP</x:v>
      </x:c>
      <x:c r="B86" s="2" t="str">
        <x:v>Spain</x:v>
      </x:c>
      <x:c r="C86" s="2" t="str">
        <x:v>COP</x:v>
      </x:c>
      <x:c r="D86" s="21" t="n">
        <x:v>73.6363</x:v>
      </x:c>
      <x:c r="E86" s="21" t="n">
        <x:v>73.6363</x:v>
      </x:c>
      <x:c r="F86" s="21" t="n">
        <x:v>260.3962</x:v>
      </x:c>
      <x:c r="G86" s="21" t="n">
        <x:v>73.6363</x:v>
      </x:c>
      <x:c r="H86" s="21" t="str">
        <x:v>n.a.</x:v>
      </x:c>
      <x:c r="I86" s="2" t="str">
        <x:v>COP OCT26</x:v>
      </x:c>
      <x:c r="J86" s="2"/>
    </x:row>
    <x:row r="87" ht="23" customHeight="1">
      <x:c r="A87" s="2" t="str">
        <x:v>Sri Lanka|COP</x:v>
      </x:c>
      <x:c r="B87" s="2" t="str">
        <x:v>Sri Lanka</x:v>
      </x:c>
      <x:c r="C87" s="2" t="str">
        <x:v>COP</x:v>
      </x:c>
      <x:c r="D87" s="21" t="n">
        <x:v>7.3636</x:v>
      </x:c>
      <x:c r="E87" s="21" t="n">
        <x:v>7.3636</x:v>
      </x:c>
      <x:c r="F87" s="21" t="n">
        <x:v>269.5087</x:v>
      </x:c>
      <x:c r="G87" s="21" t="n">
        <x:v>7.3636</x:v>
      </x:c>
      <x:c r="H87" s="21" t="n">
        <x:v>530.1812</x:v>
      </x:c>
      <x:c r="I87" s="2" t="str">
        <x:v>COP OCT26</x:v>
      </x:c>
      <x:c r="J87" s="2"/>
    </x:row>
    <x:row r="88" ht="23" customHeight="1">
      <x:c r="A88" s="2" t="str">
        <x:v>Turkey|COP</x:v>
      </x:c>
      <x:c r="B88" s="2" t="str">
        <x:v>Turkey</x:v>
      </x:c>
      <x:c r="C88" s="2" t="str">
        <x:v>COP</x:v>
      </x:c>
      <x:c r="D88" s="21" t="n">
        <x:v>3.3136</x:v>
      </x:c>
      <x:c r="E88" s="21" t="n">
        <x:v>3.3136</x:v>
      </x:c>
      <x:c r="F88" s="21" t="n">
        <x:v>40.1318</x:v>
      </x:c>
      <x:c r="G88" s="21" t="n">
        <x:v>3.3136</x:v>
      </x:c>
      <x:c r="H88" s="21" t="str">
        <x:v>n.a.</x:v>
      </x:c>
      <x:c r="I88" s="2" t="str">
        <x:v>COP OCT26</x:v>
      </x:c>
      <x:c r="J88" s="2"/>
    </x:row>
    <x:row r="89" ht="23" customHeight="1">
      <x:c r="A89" s="2" t="str">
        <x:v>Ukraine|COP</x:v>
      </x:c>
      <x:c r="B89" s="2" t="str">
        <x:v>Ukraine</x:v>
      </x:c>
      <x:c r="C89" s="2" t="str">
        <x:v>COP</x:v>
      </x:c>
      <x:c r="D89" s="21" t="n">
        <x:v>109.718</x:v>
      </x:c>
      <x:c r="E89" s="21" t="n">
        <x:v>109.718</x:v>
      </x:c>
      <x:c r="F89" s="21" t="n">
        <x:v>316.636</x:v>
      </x:c>
      <x:c r="G89" s="21" t="n">
        <x:v>109.718</x:v>
      </x:c>
      <x:c r="H89" s="21" t="n">
        <x:v>274.6631</x:v>
      </x:c>
      <x:c r="I89" s="2" t="str">
        <x:v>COP OCT26</x:v>
      </x:c>
      <x:c r="J89" s="2"/>
    </x:row>
    <x:row r="90" ht="23" customHeight="1">
      <x:c r="A90" s="2" t="str">
        <x:v>United Arab Emirates|COP</x:v>
      </x:c>
      <x:c r="B90" s="2" t="str">
        <x:v>United Arab Emirates</x:v>
      </x:c>
      <x:c r="C90" s="2" t="str">
        <x:v>COP</x:v>
      </x:c>
      <x:c r="D90" s="21" t="n">
        <x:v>57.8045</x:v>
      </x:c>
      <x:c r="E90" s="21" t="n">
        <x:v>57.8045</x:v>
      </x:c>
      <x:c r="F90" s="21" t="n">
        <x:v>212.1277</x:v>
      </x:c>
      <x:c r="G90" s="21" t="n">
        <x:v>57.8045</x:v>
      </x:c>
      <x:c r="H90" s="21" t="n">
        <x:v>187.7725</x:v>
      </x:c>
      <x:c r="I90" s="2" t="str">
        <x:v>COP OCT26</x:v>
      </x:c>
      <x:c r="J90" s="2"/>
    </x:row>
    <x:row r="91" ht="23" customHeight="1">
      <x:c r="A91" s="2" t="str">
        <x:v>United Kingdom|COP</x:v>
      </x:c>
      <x:c r="B91" s="2" t="str">
        <x:v>United Kingdom</x:v>
      </x:c>
      <x:c r="C91" s="2" t="str">
        <x:v>COP</x:v>
      </x:c>
      <x:c r="D91" s="21" t="n">
        <x:v>80.9999</x:v>
      </x:c>
      <x:c r="E91" s="21" t="n">
        <x:v>80.9999</x:v>
      </x:c>
      <x:c r="F91" s="21" t="n">
        <x:v>233.7215</x:v>
      </x:c>
      <x:c r="G91" s="21" t="n">
        <x:v>80.9999</x:v>
      </x:c>
      <x:c r="H91" s="21" t="str">
        <x:v>n.a.</x:v>
      </x:c>
      <x:c r="I91" s="2" t="str">
        <x:v>COP OCT26</x:v>
      </x:c>
      <x:c r="J91" s="2"/>
    </x:row>
    <x:row r="92" ht="23" customHeight="1">
      <x:c r="A92" s="2" t="str">
        <x:v>North America|COP</x:v>
      </x:c>
      <x:c r="B92" s="2" t="str">
        <x:v>North America</x:v>
      </x:c>
      <x:c r="C92" s="2" t="str">
        <x:v>COP</x:v>
      </x:c>
      <x:c r="D92" s="21" t="n">
        <x:v>12.5182</x:v>
      </x:c>
      <x:c r="E92" s="21" t="n">
        <x:v>12.5182</x:v>
      </x:c>
      <x:c r="F92" s="21" t="n">
        <x:v>92.0453</x:v>
      </x:c>
      <x:c r="G92" s="21" t="n">
        <x:v>12.5182</x:v>
      </x:c>
      <x:c r="H92" s="21" t="str">
        <x:v>n.a.</x:v>
      </x:c>
      <x:c r="I92" s="2" t="str">
        <x:v>COP OCT26</x:v>
      </x:c>
      <x:c r="J92" s="2"/>
    </x:row>
    <x:row r="93" ht="23" customHeight="1">
      <x:c r="A93" s="2" t="str">
        <x:v>Rest of Africa|COP</x:v>
      </x:c>
      <x:c r="B93" s="2" t="str">
        <x:v>Rest of Africa</x:v>
      </x:c>
      <x:c r="C93" s="2" t="str">
        <x:v>COP</x:v>
      </x:c>
      <x:c r="D93" s="21" t="n">
        <x:v>14.7273</x:v>
      </x:c>
      <x:c r="E93" s="21" t="n">
        <x:v>14.7273</x:v>
      </x:c>
      <x:c r="F93" s="21" t="n">
        <x:v>82.8408</x:v>
      </x:c>
      <x:c r="G93" s="21" t="n">
        <x:v>14.7273</x:v>
      </x:c>
      <x:c r="H93" s="21" t="str">
        <x:v>n.a.</x:v>
      </x:c>
      <x:c r="I93" s="2" t="str">
        <x:v>COP OCT26</x:v>
      </x:c>
      <x:c r="J93" s="2"/>
    </x:row>
    <x:row r="94" ht="23" customHeight="1">
      <x:c r="A94" s="2" t="str">
        <x:v>Rest of Asia Pacific|COP</x:v>
      </x:c>
      <x:c r="B94" s="2" t="str">
        <x:v>Rest of Asia Pacific</x:v>
      </x:c>
      <x:c r="C94" s="2" t="str">
        <x:v>COP</x:v>
      </x:c>
      <x:c r="D94" s="21" t="n">
        <x:v>41.6045</x:v>
      </x:c>
      <x:c r="E94" s="21" t="n">
        <x:v>41.6045</x:v>
      </x:c>
      <x:c r="F94" s="21" t="n">
        <x:v>309.935</x:v>
      </x:c>
      <x:c r="G94" s="21" t="n">
        <x:v>41.6045</x:v>
      </x:c>
      <x:c r="H94" s="21" t="str">
        <x:v>n.a.</x:v>
      </x:c>
      <x:c r="I94" s="2" t="str">
        <x:v>COP OCT26</x:v>
      </x:c>
      <x:c r="J94" s="2"/>
    </x:row>
    <x:row r="95" ht="36" customHeight="1">
      <x:c r="A95" s="22" t="str">
        <x:v>Rest of Central &amp; Eastern Europe|COP</x:v>
      </x:c>
      <x:c r="B95" s="22" t="str">
        <x:v>Rest of Central &amp; Eastern Europe</x:v>
      </x:c>
      <x:c r="C95" s="2" t="str">
        <x:v>COP</x:v>
      </x:c>
      <x:c r="D95" s="21" t="n">
        <x:v>78.0544</x:v>
      </x:c>
      <x:c r="E95" s="21" t="n">
        <x:v>78.0544</x:v>
      </x:c>
      <x:c r="F95" s="21" t="n">
        <x:v>316.636</x:v>
      </x:c>
      <x:c r="G95" s="21" t="n">
        <x:v>78.0544</x:v>
      </x:c>
      <x:c r="H95" s="21" t="str">
        <x:v>n.a.</x:v>
      </x:c>
      <x:c r="I95" s="2" t="str">
        <x:v>COP OCT26</x:v>
      </x:c>
      <x:c r="J95" s="2"/>
    </x:row>
    <x:row r="96" ht="23" customHeight="1">
      <x:c r="A96" s="2" t="str">
        <x:v>Rest of Latin America|COP</x:v>
      </x:c>
      <x:c r="B96" s="2" t="str">
        <x:v>Rest of Latin America</x:v>
      </x:c>
      <x:c r="C96" s="2" t="str">
        <x:v>COP</x:v>
      </x:c>
      <x:c r="D96" s="21" t="n">
        <x:v>41.6045</x:v>
      </x:c>
      <x:c r="E96" s="21" t="n">
        <x:v>41.6045</x:v>
      </x:c>
      <x:c r="F96" s="21" t="n">
        <x:v>272.4542</x:v>
      </x:c>
      <x:c r="G96" s="21" t="n">
        <x:v>41.6045</x:v>
      </x:c>
      <x:c r="H96" s="21" t="str">
        <x:v>n.a.</x:v>
      </x:c>
      <x:c r="I96" s="2" t="str">
        <x:v>COP OCT26</x:v>
      </x:c>
      <x:c r="J96" s="2"/>
    </x:row>
    <x:row r="97" ht="23" customHeight="1">
      <x:c r="A97" s="2" t="str">
        <x:v>Rest of Middle East|COP</x:v>
      </x:c>
      <x:c r="B97" s="2" t="str">
        <x:v>Rest of Middle East</x:v>
      </x:c>
      <x:c r="C97" s="2" t="str">
        <x:v>COP</x:v>
      </x:c>
      <x:c r="D97" s="21" t="n">
        <x:v>33.5045</x:v>
      </x:c>
      <x:c r="E97" s="21" t="n">
        <x:v>33.5045</x:v>
      </x:c>
      <x:c r="F97" s="21" t="n">
        <x:v>144.3823</x:v>
      </x:c>
      <x:c r="G97" s="21" t="n">
        <x:v>33.5045</x:v>
      </x:c>
      <x:c r="H97" s="21" t="str">
        <x:v>n.a.</x:v>
      </x:c>
      <x:c r="I97" s="2" t="str">
        <x:v>COP OCT26</x:v>
      </x:c>
      <x:c r="J97" s="2"/>
    </x:row>
    <x:row r="98" ht="23" customHeight="1">
      <x:c r="A98" s="2" t="str">
        <x:v>Rest of Western Europe|COP</x:v>
      </x:c>
      <x:c r="B98" s="2" t="str">
        <x:v>Rest of Western Europe</x:v>
      </x:c>
      <x:c r="C98" s="2" t="str">
        <x:v>COP</x:v>
      </x:c>
      <x:c r="D98" s="21" t="n">
        <x:v>62.959</x:v>
      </x:c>
      <x:c r="E98" s="21" t="n">
        <x:v>62.959</x:v>
      </x:c>
      <x:c r="F98" s="21" t="n">
        <x:v>217.9634</x:v>
      </x:c>
      <x:c r="G98" s="21" t="n">
        <x:v>62.959</x:v>
      </x:c>
      <x:c r="H98" s="21" t="str">
        <x:v>n.a.</x:v>
      </x:c>
      <x:c r="I98" s="2" t="str">
        <x:v>COP OCT26</x:v>
      </x:c>
      <x:c r="J98" s="2"/>
    </x:row>
    <x:row r="99" ht="23" customHeight="1">
      <x:c r="A99" s="2" t="str">
        <x:v>Other|COP</x:v>
      </x:c>
      <x:c r="B99" s="2" t="str">
        <x:v>Other</x:v>
      </x:c>
      <x:c r="C99" s="2" t="str">
        <x:v>COP</x:v>
      </x:c>
      <x:c r="D99" s="21" t="n">
        <x:v>28.35</x:v>
      </x:c>
      <x:c r="E99" s="21" t="n">
        <x:v>28.35</x:v>
      </x:c>
      <x:c r="F99" s="21" t="n">
        <x:v>222.3815</x:v>
      </x:c>
      <x:c r="G99" s="21" t="n">
        <x:v>28.35</x:v>
      </x:c>
      <x:c r="H99" s="21" t="str">
        <x:v>n.a.</x:v>
      </x:c>
      <x:c r="I99" s="2" t="str">
        <x:v>COP OCT26</x:v>
      </x:c>
      <x:c r="J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 ht="23" customHeight="1">
      <x:c r="A102" s="2" t="str">
        <x:v>Fuente principal</x:v>
      </x:c>
      <x:c r="B102" s="2" t="str">
        <x:v>https://developers.facebook.com/documentation/business-messaging/whatsapp/pricing</x:v>
      </x:c>
      <x:c r="C102" s="2"/>
      <x:c r="D102" s="2"/>
      <x:c r="E102" s="2"/>
      <x:c r="F102" s="2"/>
      <x:c r="G102" s="2"/>
      <x:c r="H102" s="2"/>
      <x:c r="I102" s="2"/>
      <x:c r="J102" s="2"/>
    </x:row>
    <x:row r="103" ht="23" customHeight="1">
      <x:c r="A103" s="2" t="str">
        <x:v>Consulta</x:v>
      </x:c>
      <x:c r="B103" s="2" t="str">
        <x:v>2026-09-10</x:v>
      </x:c>
      <x:c r="C103" s="2"/>
      <x:c r="D103" s="2"/>
      <x:c r="E103" s="2"/>
      <x:c r="F103" s="2"/>
      <x:c r="G103" s="2"/>
      <x:c r="H103" s="2"/>
      <x:c r="I103" s="2"/>
      <x:c r="J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 ht="23" customHeight="1">
      <x:c r="A105" s="2" t="str">
        <x:v>USD OCT26</x:v>
      </x:c>
      <x:c r="B105" s="2" t="str">
        <x:v>meta-usd-rates-2026-10-01.xlsx</x:v>
      </x:c>
      <x:c r="C105" s="2"/>
      <x:c r="D105" s="2"/>
      <x:c r="E105" s="2"/>
      <x:c r="F105" s="2"/>
      <x:c r="G105" s="2"/>
      <x:c r="H105" s="2"/>
      <x:c r="I105" s="2"/>
      <x:c r="J105" s="2"/>
    </x:row>
    <x:row r="106" ht="23" customHeight="1">
      <x:c r="A106" s="2"/>
      <x:c r="B106" s="2" t="str">
        <x:v>https://scontent.fbog23-1.fna.fbcdn.net/v/t39.8562-6/789612890_1382606183999337_7470194220917189092_n.csv?_nc_cat=110&amp;ccb=1-7&amp;_nc_sid=b8d81d&amp;_nc_ohc=VwBrRKSLaTMQ7kNvwGGpBru&amp;_nc_oc=Adpri_GpzCh00X95QTs0xT1yDuEVP2jQaaIJCBrKQRFzjjqswP7kOdYK6nOYzQGNv1k&amp;_nc_zt=14&amp;_nc_ht=scontent.fbog23-1.fna&amp;_nc_gid=jyzMPmIqxWJLMFEO1j5-ng&amp;_nc_ss=7a289&amp;oh=00_AQLtTXNKRiYjQ3vf2EHa4EliyBHuiDu21ilotxF-wytXCw&amp;oe=6AA89950</x:v>
      </x:c>
      <x:c r="C106" s="2"/>
      <x:c r="D106" s="2"/>
      <x:c r="E106" s="2"/>
      <x:c r="F106" s="2"/>
      <x:c r="G106" s="2"/>
      <x:c r="H106" s="2"/>
      <x:c r="I106" s="2"/>
      <x:c r="J106" s="2"/>
    </x:row>
    <x:row r="107" ht="23" customHeight="1">
      <x:c r="A107" s="2"/>
      <x:c r="B107" s="2" t="str">
        <x:v>SHA256: 94913fa225da00935cd50a69a317373302d90afd47b57eeabb5e7cd64e78d867</x:v>
      </x:c>
      <x:c r="C107" s="2"/>
      <x:c r="D107" s="2"/>
      <x:c r="E107" s="2"/>
      <x:c r="F107" s="2"/>
      <x:c r="G107" s="2"/>
      <x:c r="H107" s="2"/>
      <x:c r="I107" s="2"/>
      <x:c r="J107" s="2"/>
    </x:row>
    <x:row r="108" ht="23" customHeight="1">
      <x:c r="A108" s="2" t="str">
        <x:v>COP OCT26</x:v>
      </x:c>
      <x:c r="B108" s="2" t="str">
        <x:v>meta-cop-rates-2026-10-01.xlsx</x:v>
      </x:c>
      <x:c r="C108" s="2"/>
      <x:c r="D108" s="2"/>
      <x:c r="E108" s="2"/>
      <x:c r="F108" s="2"/>
      <x:c r="G108" s="2"/>
      <x:c r="H108" s="2"/>
      <x:c r="I108" s="2"/>
      <x:c r="J108" s="2"/>
    </x:row>
    <x:row r="109" ht="23" customHeight="1">
      <x:c r="A109" s="2"/>
      <x:c r="B109" s="2" t="str">
        <x:v>https://scontent.fbog23-1.fna.fbcdn.net/v/t39.8562-6/789740745_1989457894930581_212461347617315538_n.csv?_nc_cat=108&amp;ccb=1-7&amp;_nc_sid=b8d81d&amp;_nc_ohc=0UgkcZ6c2ekQ7kNvwFZdsY6&amp;_nc_oc=Ado0iErvb9toIuZXBcX1KhM07qFxL0nRlRSutRI7d_jtghTgSLEd28IXfa0WEZq1JTU&amp;_nc_zt=14&amp;_nc_ht=scontent.fbog23-1.fna&amp;_nc_gid=jyzMPmIqxWJLMFEO1j5-ng&amp;_nc_ss=7a289&amp;oh=00_AQJy5BzZzbo6Y1M4w7mKWdEFp8o8aiTs4hMvcBHyUpezYQ&amp;oe=6AA88C10</x:v>
      </x:c>
      <x:c r="C109" s="2"/>
      <x:c r="D109" s="2"/>
      <x:c r="E109" s="2"/>
      <x:c r="F109" s="2"/>
      <x:c r="G109" s="2"/>
      <x:c r="H109" s="2"/>
      <x:c r="I109" s="2"/>
      <x:c r="J109" s="2"/>
    </x:row>
    <x:row r="110" ht="23" customHeight="1">
      <x:c r="A110" s="2"/>
      <x:c r="B110" s="2" t="str">
        <x:v>SHA256: cd9fe8d22a7a9d0ca7cfeffb333df4863faf18a46625c36503be530df58b3c7c</x:v>
      </x:c>
      <x:c r="C110" s="2"/>
      <x:c r="D110" s="2"/>
      <x:c r="E110" s="2"/>
      <x:c r="F110" s="2"/>
      <x:c r="G110" s="2"/>
      <x:c r="H110" s="2"/>
      <x:c r="I110" s="2"/>
      <x:c r="J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3" customHeight="1">
      <x:c r="A113" s="2" t="str">
        <x:v>Fuente local: meta-ratecards-2026.json. Tarifa oficial COP independiente del FX del modelo.</x:v>
      </x:c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3" customHeight="1">
      <x:c r="A114" s="2" t="str">
        <x:v>Utility/auth usan precio base, sin escalas de volumen; auth internacional se conserva como fuente.</x:v>
      </x:c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Planes de fábrica en el repositorio</x:v>
      </x:c>
      <x:c r="B2" s="2"/>
      <x:c r="C2" s="2"/>
      <x:c r="D2" s="2"/>
      <x:c r="E2" s="2"/>
      <x:c r="F2" s="2"/>
    </x:row>
    <x:row r="3" ht="23" customHeight="1">
      <x:c r="A3" s="4"/>
      <x:c r="B3" s="4"/>
      <x:c r="C3" s="4"/>
      <x:c r="D3" s="4"/>
      <x:c r="E3" s="4"/>
      <x:c r="F3" s="4"/>
    </x:row>
    <x:row r="4" ht="23" customHeight="1">
      <x:c r="A4" s="2" t="str">
        <x:v>Datos de seed; billing_plans runtime y overrides no consultados.</x:v>
      </x:c>
      <x:c r="B4" s="2"/>
      <x:c r="C4" s="2"/>
      <x:c r="D4" s="2"/>
      <x:c r="E4" s="2"/>
      <x:c r="F4" s="2"/>
    </x:row>
    <x:row r="5" ht="23" customHeight="1">
      <x:c r="A5" s="8"/>
      <x:c r="B5" s="8" t="str">
        <x:v>Emprendedor</x:v>
      </x:c>
      <x:c r="C5" s="8" t="str">
        <x:v>Starter</x:v>
      </x:c>
      <x:c r="D5" s="8" t="str">
        <x:v>Pro</x:v>
      </x:c>
      <x:c r="E5" s="8" t="str">
        <x:v>Enterprise</x:v>
      </x:c>
      <x:c r="F5" s="8" t="str">
        <x:v>Custom</x:v>
      </x:c>
    </x:row>
    <x:row r="6" ht="23" customHeight="1">
      <x:c r="A6" s="2" t="str">
        <x:v>Referencia USD mensual</x:v>
      </x:c>
      <x:c r="B6" s="18" t="n">
        <x:v>21</x:v>
      </x:c>
      <x:c r="C6" s="18" t="n">
        <x:v>49</x:v>
      </x:c>
      <x:c r="D6" s="18" t="n">
        <x:v>129</x:v>
      </x:c>
      <x:c r="E6" s="18" t="n">
        <x:v>349</x:v>
      </x:c>
      <x:c r="F6" s="18"/>
    </x:row>
    <x:row r="7" ht="23" customHeight="1">
      <x:c r="A7" s="2" t="str">
        <x:v>COP mensual</x:v>
      </x:c>
      <x:c r="B7" s="18" t="n">
        <x:v>125700</x:v>
      </x:c>
      <x:c r="C7" s="18" t="n">
        <x:v>276900</x:v>
      </x:c>
      <x:c r="D7" s="18" t="n">
        <x:v>757700</x:v>
      </x:c>
      <x:c r="E7" s="18" t="n">
        <x:v>1789800</x:v>
      </x:c>
      <x:c r="F7" s="18"/>
    </x:row>
    <x:row r="8" ht="23" customHeight="1">
      <x:c r="A8" s="2" t="str">
        <x:v>COP anual total</x:v>
      </x:c>
      <x:c r="B8" s="18" t="n">
        <x:v>1282140</x:v>
      </x:c>
      <x:c r="C8" s="18" t="n">
        <x:v>2824380</x:v>
      </x:c>
      <x:c r="D8" s="18" t="n">
        <x:v>7728540</x:v>
      </x:c>
      <x:c r="E8" s="18" t="n">
        <x:v>18255960</x:v>
      </x:c>
      <x:c r="F8" s="18"/>
    </x:row>
    <x:row r="9" ht="23" customHeight="1">
      <x:c r="A9" s="2" t="str">
        <x:v>Cuota IA mensual</x:v>
      </x:c>
      <x:c r="B9" s="19" t="n">
        <x:v>1000</x:v>
      </x:c>
      <x:c r="C9" s="19" t="n">
        <x:v>5000</x:v>
      </x:c>
      <x:c r="D9" s="19" t="n">
        <x:v>25000</x:v>
      </x:c>
      <x:c r="E9" s="19" t="n">
        <x:v>100000</x:v>
      </x:c>
      <x:c r="F9" s="19"/>
    </x:row>
    <x:row r="10" ht="23" customHeight="1">
      <x:c r="A10" s="2" t="str">
        <x:v>Agentes (seed)</x:v>
      </x:c>
      <x:c r="B10" s="19" t="n">
        <x:v>1</x:v>
      </x:c>
      <x:c r="C10" s="19" t="n">
        <x:v>1</x:v>
      </x:c>
      <x:c r="D10" s="19" t="n">
        <x:v>3</x:v>
      </x:c>
      <x:c r="E10" s="19" t="n">
        <x:v>10</x:v>
      </x:c>
      <x:c r="F10" s="19" t="n">
        <x:v>999</x:v>
      </x:c>
    </x:row>
    <x:row r="11" ht="23" customHeight="1">
      <x:c r="A11" s="2" t="str">
        <x:v>Máximo conexiones WhatsApp (seed)</x:v>
      </x:c>
      <x:c r="B11" s="19" t="n">
        <x:v>1</x:v>
      </x:c>
      <x:c r="C11" s="19" t="n">
        <x:v>1</x:v>
      </x:c>
      <x:c r="D11" s="19" t="n">
        <x:v>2</x:v>
      </x:c>
      <x:c r="E11" s="19" t="n">
        <x:v>3</x:v>
      </x:c>
      <x:c r="F11" s="19" t="n">
        <x:v>-1</x:v>
      </x:c>
    </x:row>
    <x:row r="12" ht="23" customHeight="1">
      <x:c r="A12" s="2" t="str">
        <x:v>Umbral blando LLM (USD/mes)</x:v>
      </x:c>
      <x:c r="B12" s="18" t="n">
        <x:v>8</x:v>
      </x:c>
      <x:c r="C12" s="18" t="n">
        <x:v>25</x:v>
      </x:c>
      <x:c r="D12" s="18" t="n">
        <x:v>60</x:v>
      </x:c>
      <x:c r="E12" s="18" t="n">
        <x:v>100</x:v>
      </x:c>
      <x:c r="F12" s="18" t="str">
        <x:v>sin umbral</x:v>
      </x:c>
    </x:row>
    <x:row r="13" ht="23" customHeight="1">
      <x:c r="A13" s="2" t="str">
        <x:v>Presupuesto multimedia (USD/día)</x:v>
      </x:c>
      <x:c r="B13" s="18" t="n">
        <x:v>0.1</x:v>
      </x:c>
      <x:c r="C13" s="18" t="n">
        <x:v>0.25</x:v>
      </x:c>
      <x:c r="D13" s="18" t="n">
        <x:v>1</x:v>
      </x:c>
      <x:c r="E13" s="18" t="n">
        <x:v>5</x:v>
      </x:c>
      <x:c r="F13" s="18" t="n">
        <x:v>50</x:v>
      </x:c>
    </x:row>
    <x:row r="14" ht="23" customHeight="1">
      <x:c r="A14" s="2" t="str">
        <x:v>Crédito WhatsApp seed sin consumidor</x:v>
      </x:c>
      <x:c r="B14" s="18" t="n">
        <x:v>5</x:v>
      </x:c>
      <x:c r="C14" s="18" t="n">
        <x:v>10</x:v>
      </x:c>
      <x:c r="D14" s="18" t="n">
        <x:v>25</x:v>
      </x:c>
      <x:c r="E14" s="18" t="n">
        <x:v>0</x:v>
      </x:c>
      <x:c r="F14" s="18" t="n">
        <x:v>0</x:v>
      </x:c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3" customHeight="1">
      <x:c r="A17" s="2" t="str">
        <x:v>-1 significa ilimitado en seed; no es compromiso de consumo gratuito.</x:v>
      </x:c>
      <x:c r="B17" s="2"/>
      <x:c r="C17" s="2"/>
      <x:c r="D17" s="2"/>
      <x:c r="E17" s="2"/>
      <x:c r="F17" s="2"/>
    </x:row>
    <x:row r="18" ht="23" customHeight="1">
      <x:c r="A18" s="2" t="str">
        <x:v>Fuente: apps/api/prisma/seed-billing-plans.js, líneas 41, 148, 249, 349, 449, 549.</x:v>
      </x:c>
      <x:c r="B18" s="2"/>
      <x:c r="C18" s="2"/>
      <x:c r="D18" s="2"/>
      <x:c r="E18" s="2"/>
      <x:c r="F18" s="2"/>
    </x:row>
    <x:row r="19" ht="23" customHeight="1">
      <x:c r="A19" s="2" t="str">
        <x:v>El anual COP equivale al 85 % de 12 mensualidades. Custom se cotiza aparte.</x:v>
      </x:c>
      <x:c r="B19" s="2"/>
      <x:c r="C19" s="2"/>
      <x:c r="D19" s="2"/>
      <x:c r="E19" s="2"/>
      <x:c r="F19" s="2"/>
    </x:row>
    <x:row r="20" ht="23" customHeight="1">
      <x:c r="A20" s="2" t="str">
        <x:v>Cobro SaaS, cuenta Meta y cobros del negocio a sus clientes son circuitos distintos.</x:v>
      </x:c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</x:sheetData>
  <x:pageMargins left="0.7" right="0.7" top="0.75" bottom="0.75" header="0.3" footer="0.3"/>
</x:worksheet>
</file>